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N20-260824 Project 3762062 Hinds\N20-260824-1st  INV1-5\"/>
    </mc:Choice>
  </mc:AlternateContent>
  <bookViews>
    <workbookView windowWidth="28800" windowHeight="12255" activeTab="2"/>
  </bookViews>
  <sheets>
    <sheet name="Sheet1" sheetId="1" r:id="rId1"/>
    <sheet name="Sheet1 (2)" sheetId="2" r:id="rId2"/>
    <sheet name="Sheet5" sheetId="6" r:id="rId3"/>
    <sheet name="Sheet2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<sst xmlns="http://schemas.openxmlformats.org/spreadsheetml/2006/main" count="1664" uniqueCount="126">
  <si>
    <t>Packing List-Hinds</t>
  </si>
  <si>
    <t>Block No.</t>
  </si>
  <si>
    <t>No.</t>
  </si>
  <si>
    <r>
      <rPr>
        <sz val="12"/>
        <color theme="1"/>
        <rFont val="宋体"/>
        <charset val="134"/>
      </rPr>
      <t>物料编码</t>
    </r>
  </si>
  <si>
    <r>
      <rPr>
        <sz val="12"/>
        <color theme="1"/>
        <rFont val="宋体"/>
        <charset val="134"/>
      </rPr>
      <t>工艺卡号</t>
    </r>
  </si>
  <si>
    <t>Item</t>
  </si>
  <si>
    <t>PN</t>
  </si>
  <si>
    <t>DESC</t>
  </si>
  <si>
    <t>Drawing No.</t>
  </si>
  <si>
    <t>QTY(set)</t>
  </si>
  <si>
    <t>Unit NW(kg)</t>
  </si>
  <si>
    <t>QTY/Carton</t>
  </si>
  <si>
    <t>Carton QTY</t>
  </si>
  <si>
    <t>Carton/PLT</t>
  </si>
  <si>
    <t>PLT QTY</t>
  </si>
  <si>
    <t>Rest carton</t>
  </si>
  <si>
    <t>Tail carton QTY</t>
  </si>
  <si>
    <t>Carton size(mm)</t>
  </si>
  <si>
    <t>Pallet size(mm)</t>
  </si>
  <si>
    <t>Weight(kg)</t>
  </si>
  <si>
    <t>Tail pallet</t>
  </si>
  <si>
    <t>INV 01</t>
  </si>
  <si>
    <t>TXS.03.00146</t>
  </si>
  <si>
    <t>T-N20-JG-0112</t>
  </si>
  <si>
    <t>PPH</t>
  </si>
  <si>
    <t>PPH-8-P.RBK.5.00005</t>
  </si>
  <si>
    <t>BOM,BUILD,HINES,8-1PPH,N,POS</t>
  </si>
  <si>
    <t>990-011706-007</t>
  </si>
  <si>
    <t>/</t>
  </si>
  <si>
    <t>550*550*210</t>
  </si>
  <si>
    <t>1150*1150*1215</t>
  </si>
  <si>
    <t>TXS.03.00147</t>
  </si>
  <si>
    <t>T-N20-JG-0113</t>
  </si>
  <si>
    <t>PPH-8-N-BLK.0.00005</t>
  </si>
  <si>
    <t>BOM,BUILD,HINES,8-1PPH,N,NEG</t>
  </si>
  <si>
    <t>990-011706-008</t>
  </si>
  <si>
    <t>TXS.03.00148</t>
  </si>
  <si>
    <t>T-N20-JG-0114</t>
  </si>
  <si>
    <t>PPH-8-P.RBK.5.00004</t>
  </si>
  <si>
    <t>BOM,BUILD,HINES,8-1PPH,S,POS</t>
  </si>
  <si>
    <t>990-011706-009</t>
  </si>
  <si>
    <t>TXS.03.00149</t>
  </si>
  <si>
    <t>T-N20-JG-0115</t>
  </si>
  <si>
    <t>PPH-8-N-BLK.0.00004</t>
  </si>
  <si>
    <t>BOM,BUILD,HINES,8-1PPH,S,NEG</t>
  </si>
  <si>
    <t>990-011706-010</t>
  </si>
  <si>
    <t>TXS.03.00142</t>
  </si>
  <si>
    <t>T-N20-JG-0108</t>
  </si>
  <si>
    <t>PPH-4.P.RBK.5.00005</t>
  </si>
  <si>
    <t>BOM,BUILD,HINES,4-1PPH,N,POS</t>
  </si>
  <si>
    <t>990-011706-003</t>
  </si>
  <si>
    <t>TXS.03.00143</t>
  </si>
  <si>
    <t>T-N20-JG-0109</t>
  </si>
  <si>
    <t>PPH-4.N.BLK.0.00005</t>
  </si>
  <si>
    <t>BOM,BUILD,HINES,4-1PPH,N,NEG</t>
  </si>
  <si>
    <t>990-011706-004</t>
  </si>
  <si>
    <t>TXS.03.00144</t>
  </si>
  <si>
    <t>T-N20-JG-0110</t>
  </si>
  <si>
    <t>PPH-4-P.RBK.5.00004</t>
  </si>
  <si>
    <t>BOM,BUILD,HINES,4-1PPH,S,POS</t>
  </si>
  <si>
    <t>990-011706-005</t>
  </si>
  <si>
    <t>TXS.03.00145</t>
  </si>
  <si>
    <t>T-N20-JG-0111</t>
  </si>
  <si>
    <t>PPH-4-N.BLK.0.00004</t>
  </si>
  <si>
    <t>BOM,BUILD,HINES,4-1PPH,S,NEG</t>
  </si>
  <si>
    <t>990-011706-006</t>
  </si>
  <si>
    <t>TXS.01.00049</t>
  </si>
  <si>
    <t>T-N20-JG-0125</t>
  </si>
  <si>
    <t>SH</t>
  </si>
  <si>
    <t>SH-2.8.RBK.BLK.00008</t>
  </si>
  <si>
    <t>BOM,BUILD,HINES,8AWG,SH</t>
  </si>
  <si>
    <t>990-011706-001</t>
  </si>
  <si>
    <t>TXS.01.00052</t>
  </si>
  <si>
    <t>T-N20-JG-0128</t>
  </si>
  <si>
    <t>TXS.01.00053</t>
  </si>
  <si>
    <t>T-N20-JG-0129</t>
  </si>
  <si>
    <t>TXS.01.00054</t>
  </si>
  <si>
    <t>T-N20-JG-0130</t>
  </si>
  <si>
    <t>TXS.01.00055</t>
  </si>
  <si>
    <t>T-N20-JG-0131</t>
  </si>
  <si>
    <t>INV 02</t>
  </si>
  <si>
    <t>INV 03</t>
  </si>
  <si>
    <t>INV 04</t>
  </si>
  <si>
    <t>TXS.01.00056</t>
  </si>
  <si>
    <t>T-N20-JG-0132</t>
  </si>
  <si>
    <t>INV 05</t>
  </si>
  <si>
    <t>JUMPER</t>
  </si>
  <si>
    <t>TXS.01.00046</t>
  </si>
  <si>
    <t>T-N20-JG-0122</t>
  </si>
  <si>
    <t>SH-0.10.BLK.00018</t>
  </si>
  <si>
    <t>BOM,BUILD,HINDS,10AWG,PV4,JUMPER</t>
  </si>
  <si>
    <t>990-011706-017</t>
  </si>
  <si>
    <t>TXS.01.00047</t>
  </si>
  <si>
    <t>T-N20-JG-0123</t>
  </si>
  <si>
    <t>SH-0.10.BLK.00019</t>
  </si>
  <si>
    <t>BOM,BUILD,HINDS,10AWG,MC4,JUMPER</t>
  </si>
  <si>
    <t>990-011706-018</t>
  </si>
  <si>
    <t>TXS.01.00048</t>
  </si>
  <si>
    <t>T-N20-JG-0124</t>
  </si>
  <si>
    <t>SH-0.10.BLK.00020</t>
  </si>
  <si>
    <t>BOM,BUILD,HINDS,10AWG,MC4,MGJ</t>
  </si>
  <si>
    <t>990-011706-019</t>
  </si>
  <si>
    <t>shipment information:</t>
  </si>
  <si>
    <t>Total carton QTY:</t>
  </si>
  <si>
    <t>carton size:</t>
  </si>
  <si>
    <t>Total pallet QTY:</t>
  </si>
  <si>
    <t>Pallet size:</t>
  </si>
  <si>
    <t>Total cubic:</t>
  </si>
  <si>
    <t>Total weight:</t>
  </si>
  <si>
    <t>Container Size:</t>
  </si>
  <si>
    <t>2*40HC</t>
  </si>
  <si>
    <t>工艺卡号</t>
  </si>
  <si>
    <t>求和项:QTY(set)</t>
  </si>
  <si>
    <t>总计</t>
  </si>
  <si>
    <t>pallet No</t>
  </si>
  <si>
    <t>GW</t>
  </si>
  <si>
    <t>Cubic Meter (m2)</t>
  </si>
  <si>
    <t>CTN QTY</t>
  </si>
  <si>
    <t>ITEM NAME</t>
  </si>
  <si>
    <t>TARE WEIGHT</t>
  </si>
  <si>
    <t>Container NO</t>
  </si>
  <si>
    <t>SEAL NO</t>
  </si>
  <si>
    <t>1-37</t>
  </si>
  <si>
    <t>40HQ</t>
  </si>
  <si>
    <t>Photovoltaic Wiring
Harness</t>
  </si>
  <si>
    <t>38-64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</si>
</sst>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_);[Red]\(0.00\)"/>
  </numFmts>
  <fonts count="32">
    <font>
      <sz val="11"/>
      <color theme="1"/>
      <name val="宋体"/>
      <charset val="134"/>
      <scheme val="minor"/>
    </font>
    <font>
      <sz val="14"/>
      <color theme="1"/>
      <name val="Arial"/>
      <charset val="134"/>
    </font>
    <font>
      <sz val="14"/>
      <name val="Arial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sz val="12"/>
      <name val="Calibri"/>
      <charset val="134"/>
    </font>
    <font>
      <sz val="12"/>
      <color rgb="FFFF0000"/>
      <name val="Calibri"/>
      <charset val="134"/>
    </font>
    <font>
      <sz val="10"/>
      <color theme="1"/>
      <name val="Calibri"/>
      <charset val="134"/>
    </font>
    <font>
      <sz val="12"/>
      <name val="宋体"/>
      <charset val="134"/>
    </font>
    <font>
      <sz val="12"/>
      <color theme="0"/>
      <name val="Calibri"/>
      <charset val="134"/>
    </font>
    <font>
      <sz val="11"/>
      <color theme="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3" fillId="2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0" fontId="6" fillId="0" borderId="1" xfId="0" applyFont="1" applyFill="1" applyBorder="1" applyAlignment="1">
      <alignment horizontal="center" vertical="center" readingOrder="1"/>
    </xf>
    <xf numFmtId="177" fontId="3" fillId="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 readingOrder="1"/>
    </xf>
    <xf numFmtId="0" fontId="3" fillId="5" borderId="2" xfId="0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readingOrder="1"/>
    </xf>
    <xf numFmtId="0" fontId="5" fillId="2" borderId="4" xfId="0" applyFont="1" applyFill="1" applyBorder="1" applyAlignment="1">
      <alignment horizontal="center" vertical="center" readingOrder="1"/>
    </xf>
    <xf numFmtId="0" fontId="3" fillId="5" borderId="4" xfId="0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readingOrder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8" fontId="5" fillId="2" borderId="2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readingOrder="1"/>
    </xf>
    <xf numFmtId="0" fontId="5" fillId="2" borderId="3" xfId="0" applyFont="1" applyFill="1" applyBorder="1" applyAlignment="1">
      <alignment horizontal="center" vertical="center" readingOrder="1"/>
    </xf>
    <xf numFmtId="0" fontId="3" fillId="16" borderId="1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3" fontId="4" fillId="0" borderId="0" xfId="0" applyNumberFormat="1" applyFont="1" applyFill="1" applyAlignment="1">
      <alignment horizontal="center" vertical="center"/>
    </xf>
    <xf numFmtId="43" fontId="4" fillId="0" borderId="0" xfId="0" applyNumberFormat="1" applyFont="1" applyFill="1" applyAlignment="1">
      <alignment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readingOrder="1"/>
    </xf>
    <xf numFmtId="0" fontId="5" fillId="2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177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readingOrder="1"/>
    </xf>
    <xf numFmtId="178" fontId="3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6.7552083333" refreshedBy="jelly" recordCount="113">
  <cacheSource type="worksheet">
    <worksheetSource ref="A1:S1048576" sheet="Sheet1 (2)"/>
  </cacheSource>
  <cacheFields count="19">
    <cacheField name="Block No." numFmtId="0">
      <sharedItems containsBlank="1" count="8">
        <s v="INV 01"/>
        <m/>
        <s v="Block No."/>
        <s v="INV 02"/>
        <s v="INV 03"/>
        <s v="INV 04"/>
        <s v="INV 05"/>
        <s v="JUMPER"/>
      </sharedItems>
    </cacheField>
    <cacheField name="No." numFmtId="0">
      <sharedItems containsBlank="1" containsNumber="1" containsInteger="1" containsMixedTypes="1" count="66">
        <n v="1"/>
        <n v="2"/>
        <n v="3"/>
        <m/>
        <n v="4"/>
        <n v="5"/>
        <n v="6"/>
        <n v="7"/>
        <n v="8"/>
        <n v="9"/>
        <n v="10"/>
        <n v="11"/>
        <n v="12"/>
        <n v="13"/>
        <s v="No.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</sharedItems>
    </cacheField>
    <cacheField name="物料编码" numFmtId="0">
      <sharedItems containsBlank="1" count="19">
        <s v="TXS.03.00146"/>
        <s v="TXS.03.00142"/>
        <s v="TXS.03.00147"/>
        <s v="TXS.03.00148"/>
        <s v="TXS.03.00143"/>
        <s v="TXS.03.00149"/>
        <s v="TXS.01.00049"/>
        <s v="TXS.01.00052"/>
        <s v="TXS.03.00144"/>
        <s v="TXS.03.00145"/>
        <s v="TXS.01.00053"/>
        <s v="TXS.01.00054"/>
        <s v="TXS.01.00055"/>
        <m/>
        <s v="物料编码"/>
        <s v="TXS.01.00056"/>
        <s v="TXS.01.00046"/>
        <s v="TXS.01.00047"/>
        <s v="TXS.01.00048"/>
      </sharedItems>
    </cacheField>
    <cacheField name="工艺卡号" numFmtId="0">
      <sharedItems containsBlank="1" count="19">
        <s v="T-N20-JG-0112"/>
        <s v="T-N20-JG-0108"/>
        <s v="T-N20-JG-0113"/>
        <s v="T-N20-JG-0114"/>
        <s v="T-N20-JG-0109"/>
        <s v="T-N20-JG-0115"/>
        <s v="T-N20-JG-0125"/>
        <s v="T-N20-JG-0128"/>
        <s v="T-N20-JG-0110"/>
        <s v="T-N20-JG-0111"/>
        <s v="T-N20-JG-0129"/>
        <s v="T-N20-JG-0130"/>
        <s v="T-N20-JG-0131"/>
        <m/>
        <s v="工艺卡号"/>
        <s v="T-N20-JG-0132"/>
        <s v="T-N20-JG-0122"/>
        <s v="T-N20-JG-0123"/>
        <s v="T-N20-JG-0124"/>
      </sharedItems>
    </cacheField>
    <cacheField name="Item" numFmtId="0">
      <sharedItems containsBlank="1" count="5">
        <s v="PPH"/>
        <s v="SH"/>
        <m/>
        <s v="Item"/>
        <s v="JUMPER"/>
      </sharedItems>
    </cacheField>
    <cacheField name="PN" numFmtId="0">
      <sharedItems containsBlank="1" count="14">
        <s v="PPH-8-P.RBK.5.00005"/>
        <s v="PPH-4.P.RBK.5.00005"/>
        <s v="PPH-8-N-BLK.0.00005"/>
        <s v="PPH-8-P.RBK.5.00004"/>
        <s v="PPH-4.N.BLK.0.00005"/>
        <s v="PPH-8-N-BLK.0.00004"/>
        <s v="SH-2.8.RBK.BLK.00008"/>
        <m/>
        <s v="PPH-4-P.RBK.5.00004"/>
        <s v="PPH-4-N.BLK.0.00004"/>
        <s v="PN"/>
        <s v="SH-0.10.BLK.00018"/>
        <s v="SH-0.10.BLK.00019"/>
        <s v="SH-0.10.BLK.00020"/>
      </sharedItems>
    </cacheField>
    <cacheField name="DESC" numFmtId="0">
      <sharedItems containsBlank="1" count="14">
        <s v="BOM,BUILD,HINES,8-1PPH,N,POS"/>
        <s v="BOM,BUILD,HINES,4-1PPH,N,POS"/>
        <s v="BOM,BUILD,HINES,8-1PPH,N,NEG"/>
        <s v="BOM,BUILD,HINES,8-1PPH,S,POS"/>
        <s v="BOM,BUILD,HINES,4-1PPH,N,NEG"/>
        <s v="BOM,BUILD,HINES,8-1PPH,S,NEG"/>
        <s v="BOM,BUILD,HINES,8AWG,SH"/>
        <m/>
        <s v="BOM,BUILD,HINES,4-1PPH,S,POS"/>
        <s v="BOM,BUILD,HINES,4-1PPH,S,NEG"/>
        <s v="DESC"/>
        <s v="BOM,BUILD,HINDS,10AWG,PV4,JUMPER"/>
        <s v="BOM,BUILD,HINDS,10AWG,MC4,JUMPER"/>
        <s v="BOM,BUILD,HINDS,10AWG,MC4,MGJ"/>
      </sharedItems>
    </cacheField>
    <cacheField name="Drawing No." numFmtId="0">
      <sharedItems containsBlank="1" count="14">
        <s v="990-011706-007"/>
        <s v="990-011706-003"/>
        <s v="990-011706-008"/>
        <s v="990-011706-009"/>
        <s v="990-011706-004"/>
        <s v="990-011706-010"/>
        <s v="990-011706-001"/>
        <m/>
        <s v="990-011706-005"/>
        <s v="990-011706-006"/>
        <s v="Drawing No."/>
        <s v="990-011706-017"/>
        <s v="990-011706-018"/>
        <s v="990-011706-019"/>
      </sharedItems>
    </cacheField>
    <cacheField name="QTY(set)" numFmtId="0">
      <sharedItems containsBlank="1" containsNumber="1" containsInteger="1" containsMixedTypes="1" count="38">
        <n v="40"/>
        <n v="38"/>
        <n v="3"/>
        <n v="60"/>
        <n v="58"/>
        <n v="78"/>
        <n v="79"/>
        <n v="9"/>
        <n v="12"/>
        <n v="4"/>
        <n v="1"/>
        <n v="59"/>
        <m/>
        <s v="QTY(set)"/>
        <n v="37"/>
        <n v="57"/>
        <n v="80"/>
        <n v="52"/>
        <n v="6"/>
        <n v="21"/>
        <n v="17"/>
        <n v="41"/>
        <n v="50"/>
        <n v="76"/>
        <n v="10"/>
        <n v="30"/>
        <n v="11"/>
        <n v="71"/>
        <n v="70"/>
        <n v="56"/>
        <n v="32"/>
        <n v="2"/>
        <n v="22"/>
        <n v="7"/>
        <n v="61"/>
        <n v="39"/>
        <n v="3000"/>
        <n v="1000"/>
      </sharedItems>
    </cacheField>
    <cacheField name="Unit NW(kg)" numFmtId="0">
      <sharedItems containsBlank="1" containsNumber="1" containsMixedTypes="1" count="18">
        <n v="7.35"/>
        <n v="3.95"/>
        <n v="5.83"/>
        <n v="6.34"/>
        <n v="2.66"/>
        <n v="6.83"/>
        <n v="1.98"/>
        <n v="3.83"/>
        <n v="2.95"/>
        <n v="3.67"/>
        <n v="5.69"/>
        <n v="7.53"/>
        <n v="9.37"/>
        <m/>
        <s v="Unit NW(kg)"/>
        <n v="11.21"/>
        <n v="0.13"/>
        <n v="0.31"/>
      </sharedItems>
    </cacheField>
    <cacheField name="QTY/Carton" numFmtId="0">
      <sharedItems containsBlank="1" containsNumber="1" containsInteger="1" containsMixedTypes="1" count="9">
        <n v="2"/>
        <n v="4"/>
        <n v="3"/>
        <n v="6"/>
        <s v="/"/>
        <m/>
        <s v="QTY/Carton"/>
        <n v="150"/>
        <n v="70"/>
      </sharedItems>
    </cacheField>
    <cacheField name="Carton QTY" numFmtId="0">
      <sharedItems containsBlank="1" containsNumber="1" containsInteger="1" containsMixedTypes="1" count="18">
        <n v="20"/>
        <n v="19"/>
        <n v="1"/>
        <m/>
        <n v="3"/>
        <n v="2"/>
        <s v="Carton QTY"/>
        <n v="11"/>
        <n v="9"/>
        <n v="14"/>
        <n v="13"/>
        <n v="5"/>
        <n v="10"/>
        <n v="18"/>
        <n v="16"/>
        <n v="4"/>
        <n v="8"/>
        <n v="15"/>
      </sharedItems>
    </cacheField>
    <cacheField name="Carton/PLT" numFmtId="0">
      <sharedItems containsBlank="1" containsNumber="1" containsInteger="1" containsMixedTypes="1" count="3">
        <n v="20"/>
        <m/>
        <s v="Carton/PLT"/>
      </sharedItems>
    </cacheField>
    <cacheField name="PLT QTY" numFmtId="0">
      <sharedItems containsBlank="1" containsNumber="1" containsInteger="1" containsMixedTypes="1" count="4">
        <n v="1"/>
        <n v="0"/>
        <m/>
        <s v="PLT QTY"/>
      </sharedItems>
    </cacheField>
    <cacheField name="Rest carton" numFmtId="0">
      <sharedItems containsBlank="1" containsNumber="1" containsInteger="1" containsMixedTypes="1" count="18">
        <n v="0"/>
        <n v="19"/>
        <n v="1"/>
        <m/>
        <n v="3"/>
        <n v="2"/>
        <s v="Rest carton"/>
        <n v="11"/>
        <n v="9"/>
        <n v="14"/>
        <n v="13"/>
        <n v="5"/>
        <n v="10"/>
        <n v="18"/>
        <n v="16"/>
        <n v="4"/>
        <n v="8"/>
        <n v="15"/>
      </sharedItems>
    </cacheField>
    <cacheField name="Tail carton QTY" numFmtId="0">
      <sharedItems containsBlank="1" containsNumber="1" containsInteger="1" containsMixedTypes="1" count="9">
        <s v="/"/>
        <n v="3"/>
        <n v="1"/>
        <m/>
        <s v="Tail carton QTY"/>
        <n v="2"/>
        <n v="4"/>
        <n v="5"/>
        <n v="20"/>
      </sharedItems>
    </cacheField>
    <cacheField name="Carton size(mm)" numFmtId="0">
      <sharedItems containsBlank="1" count="3">
        <s v="550*550*210"/>
        <m/>
        <s v="Carton size(mm)"/>
      </sharedItems>
    </cacheField>
    <cacheField name="Pallet size(mm)" numFmtId="0">
      <sharedItems containsBlank="1" count="3">
        <s v="1150*1150*1215"/>
        <m/>
        <s v="Pallet size(mm)"/>
      </sharedItems>
    </cacheField>
    <cacheField name="Weight(kg)" numFmtId="0">
      <sharedItems containsBlank="1" containsNumber="1" containsMixedTypes="1" count="54">
        <n v="389"/>
        <n v="372.3"/>
        <n v="13.85"/>
        <n v="444.8"/>
        <n v="433.14"/>
        <n v="348.6"/>
        <n v="333.92"/>
        <n v="9.98"/>
        <n v="504.8"/>
        <n v="491.14"/>
        <n v="552.01"/>
        <m/>
        <n v="87.55"/>
        <n v="37.03"/>
        <n v="75.72"/>
        <n v="24.76"/>
        <n v="24.59"/>
        <n v="11.37"/>
        <n v="430.71"/>
        <s v="Weight(kg)"/>
        <n v="64.35"/>
        <n v="272.58"/>
        <n v="62.83"/>
        <n v="427.31"/>
        <n v="559.8"/>
        <n v="390.88"/>
        <n v="68.8"/>
        <n v="16.68"/>
        <n v="40.14"/>
        <n v="231.35"/>
        <n v="125.78"/>
        <n v="322.03"/>
        <n v="333.71"/>
        <n v="322.5"/>
        <n v="71.68"/>
        <n v="479.56"/>
        <n v="51.18"/>
        <n v="128.4"/>
        <n v="224.9"/>
        <n v="38.45"/>
        <n v="99.37"/>
        <n v="444.68"/>
        <n v="409.64"/>
        <n v="13.21"/>
        <n v="289.88"/>
        <n v="89.96"/>
        <n v="71.7"/>
        <n v="144.26"/>
        <n v="44.37"/>
        <n v="58.71"/>
        <n v="439.43"/>
        <n v="308.91"/>
        <n v="485"/>
        <n v="39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2"/>
    <x v="0"/>
    <x v="0"/>
    <x v="0"/>
    <x v="0"/>
    <x v="0"/>
    <x v="0"/>
    <x v="1"/>
    <x v="0"/>
    <x v="0"/>
    <x v="1"/>
    <x v="0"/>
    <x v="1"/>
    <x v="1"/>
    <x v="0"/>
    <x v="0"/>
    <x v="0"/>
    <x v="1"/>
  </r>
  <r>
    <x v="1"/>
    <x v="3"/>
    <x v="1"/>
    <x v="1"/>
    <x v="0"/>
    <x v="1"/>
    <x v="1"/>
    <x v="1"/>
    <x v="2"/>
    <x v="1"/>
    <x v="1"/>
    <x v="2"/>
    <x v="0"/>
    <x v="1"/>
    <x v="2"/>
    <x v="1"/>
    <x v="0"/>
    <x v="1"/>
    <x v="2"/>
  </r>
  <r>
    <x v="1"/>
    <x v="4"/>
    <x v="2"/>
    <x v="2"/>
    <x v="0"/>
    <x v="2"/>
    <x v="2"/>
    <x v="2"/>
    <x v="3"/>
    <x v="2"/>
    <x v="2"/>
    <x v="0"/>
    <x v="0"/>
    <x v="0"/>
    <x v="0"/>
    <x v="1"/>
    <x v="0"/>
    <x v="0"/>
    <x v="3"/>
  </r>
  <r>
    <x v="1"/>
    <x v="5"/>
    <x v="2"/>
    <x v="2"/>
    <x v="0"/>
    <x v="2"/>
    <x v="2"/>
    <x v="2"/>
    <x v="4"/>
    <x v="2"/>
    <x v="2"/>
    <x v="0"/>
    <x v="0"/>
    <x v="0"/>
    <x v="0"/>
    <x v="2"/>
    <x v="0"/>
    <x v="0"/>
    <x v="4"/>
  </r>
  <r>
    <x v="1"/>
    <x v="6"/>
    <x v="3"/>
    <x v="3"/>
    <x v="0"/>
    <x v="3"/>
    <x v="3"/>
    <x v="3"/>
    <x v="0"/>
    <x v="3"/>
    <x v="0"/>
    <x v="0"/>
    <x v="0"/>
    <x v="0"/>
    <x v="0"/>
    <x v="0"/>
    <x v="0"/>
    <x v="0"/>
    <x v="5"/>
  </r>
  <r>
    <x v="1"/>
    <x v="7"/>
    <x v="3"/>
    <x v="3"/>
    <x v="0"/>
    <x v="3"/>
    <x v="3"/>
    <x v="3"/>
    <x v="0"/>
    <x v="3"/>
    <x v="0"/>
    <x v="0"/>
    <x v="0"/>
    <x v="0"/>
    <x v="0"/>
    <x v="0"/>
    <x v="0"/>
    <x v="0"/>
    <x v="5"/>
  </r>
  <r>
    <x v="1"/>
    <x v="8"/>
    <x v="3"/>
    <x v="3"/>
    <x v="0"/>
    <x v="3"/>
    <x v="3"/>
    <x v="3"/>
    <x v="1"/>
    <x v="3"/>
    <x v="0"/>
    <x v="1"/>
    <x v="0"/>
    <x v="1"/>
    <x v="1"/>
    <x v="0"/>
    <x v="0"/>
    <x v="0"/>
    <x v="6"/>
  </r>
  <r>
    <x v="1"/>
    <x v="3"/>
    <x v="4"/>
    <x v="4"/>
    <x v="0"/>
    <x v="4"/>
    <x v="4"/>
    <x v="4"/>
    <x v="2"/>
    <x v="4"/>
    <x v="3"/>
    <x v="2"/>
    <x v="0"/>
    <x v="1"/>
    <x v="2"/>
    <x v="1"/>
    <x v="0"/>
    <x v="0"/>
    <x v="7"/>
  </r>
  <r>
    <x v="1"/>
    <x v="9"/>
    <x v="5"/>
    <x v="5"/>
    <x v="0"/>
    <x v="5"/>
    <x v="5"/>
    <x v="5"/>
    <x v="3"/>
    <x v="5"/>
    <x v="2"/>
    <x v="0"/>
    <x v="0"/>
    <x v="0"/>
    <x v="0"/>
    <x v="1"/>
    <x v="0"/>
    <x v="0"/>
    <x v="8"/>
  </r>
  <r>
    <x v="1"/>
    <x v="10"/>
    <x v="5"/>
    <x v="5"/>
    <x v="0"/>
    <x v="5"/>
    <x v="5"/>
    <x v="5"/>
    <x v="4"/>
    <x v="5"/>
    <x v="2"/>
    <x v="0"/>
    <x v="0"/>
    <x v="0"/>
    <x v="0"/>
    <x v="2"/>
    <x v="0"/>
    <x v="0"/>
    <x v="9"/>
  </r>
  <r>
    <x v="1"/>
    <x v="11"/>
    <x v="6"/>
    <x v="6"/>
    <x v="1"/>
    <x v="6"/>
    <x v="6"/>
    <x v="6"/>
    <x v="5"/>
    <x v="6"/>
    <x v="4"/>
    <x v="0"/>
    <x v="0"/>
    <x v="0"/>
    <x v="0"/>
    <x v="0"/>
    <x v="0"/>
    <x v="0"/>
    <x v="10"/>
  </r>
  <r>
    <x v="1"/>
    <x v="3"/>
    <x v="7"/>
    <x v="7"/>
    <x v="1"/>
    <x v="7"/>
    <x v="7"/>
    <x v="7"/>
    <x v="6"/>
    <x v="7"/>
    <x v="4"/>
    <x v="3"/>
    <x v="0"/>
    <x v="2"/>
    <x v="3"/>
    <x v="0"/>
    <x v="0"/>
    <x v="1"/>
    <x v="11"/>
  </r>
  <r>
    <x v="1"/>
    <x v="12"/>
    <x v="8"/>
    <x v="8"/>
    <x v="0"/>
    <x v="8"/>
    <x v="8"/>
    <x v="8"/>
    <x v="7"/>
    <x v="8"/>
    <x v="1"/>
    <x v="4"/>
    <x v="0"/>
    <x v="1"/>
    <x v="4"/>
    <x v="2"/>
    <x v="0"/>
    <x v="0"/>
    <x v="12"/>
  </r>
  <r>
    <x v="1"/>
    <x v="3"/>
    <x v="9"/>
    <x v="9"/>
    <x v="0"/>
    <x v="9"/>
    <x v="9"/>
    <x v="9"/>
    <x v="7"/>
    <x v="9"/>
    <x v="3"/>
    <x v="5"/>
    <x v="0"/>
    <x v="1"/>
    <x v="5"/>
    <x v="1"/>
    <x v="0"/>
    <x v="1"/>
    <x v="13"/>
  </r>
  <r>
    <x v="1"/>
    <x v="3"/>
    <x v="6"/>
    <x v="6"/>
    <x v="1"/>
    <x v="6"/>
    <x v="6"/>
    <x v="6"/>
    <x v="8"/>
    <x v="6"/>
    <x v="4"/>
    <x v="4"/>
    <x v="0"/>
    <x v="1"/>
    <x v="4"/>
    <x v="0"/>
    <x v="0"/>
    <x v="1"/>
    <x v="14"/>
  </r>
  <r>
    <x v="1"/>
    <x v="3"/>
    <x v="7"/>
    <x v="7"/>
    <x v="1"/>
    <x v="7"/>
    <x v="7"/>
    <x v="7"/>
    <x v="8"/>
    <x v="7"/>
    <x v="4"/>
    <x v="3"/>
    <x v="0"/>
    <x v="2"/>
    <x v="3"/>
    <x v="0"/>
    <x v="0"/>
    <x v="1"/>
    <x v="11"/>
  </r>
  <r>
    <x v="1"/>
    <x v="3"/>
    <x v="10"/>
    <x v="10"/>
    <x v="1"/>
    <x v="7"/>
    <x v="7"/>
    <x v="7"/>
    <x v="9"/>
    <x v="10"/>
    <x v="4"/>
    <x v="2"/>
    <x v="0"/>
    <x v="1"/>
    <x v="2"/>
    <x v="0"/>
    <x v="0"/>
    <x v="1"/>
    <x v="15"/>
  </r>
  <r>
    <x v="1"/>
    <x v="3"/>
    <x v="11"/>
    <x v="11"/>
    <x v="1"/>
    <x v="7"/>
    <x v="7"/>
    <x v="7"/>
    <x v="2"/>
    <x v="11"/>
    <x v="4"/>
    <x v="2"/>
    <x v="0"/>
    <x v="1"/>
    <x v="2"/>
    <x v="0"/>
    <x v="0"/>
    <x v="1"/>
    <x v="16"/>
  </r>
  <r>
    <x v="1"/>
    <x v="3"/>
    <x v="12"/>
    <x v="12"/>
    <x v="1"/>
    <x v="7"/>
    <x v="7"/>
    <x v="7"/>
    <x v="10"/>
    <x v="12"/>
    <x v="4"/>
    <x v="2"/>
    <x v="0"/>
    <x v="1"/>
    <x v="2"/>
    <x v="0"/>
    <x v="0"/>
    <x v="1"/>
    <x v="17"/>
  </r>
  <r>
    <x v="1"/>
    <x v="13"/>
    <x v="10"/>
    <x v="10"/>
    <x v="1"/>
    <x v="6"/>
    <x v="6"/>
    <x v="6"/>
    <x v="11"/>
    <x v="10"/>
    <x v="4"/>
    <x v="0"/>
    <x v="0"/>
    <x v="0"/>
    <x v="0"/>
    <x v="0"/>
    <x v="0"/>
    <x v="0"/>
    <x v="18"/>
  </r>
  <r>
    <x v="1"/>
    <x v="3"/>
    <x v="13"/>
    <x v="13"/>
    <x v="2"/>
    <x v="7"/>
    <x v="7"/>
    <x v="7"/>
    <x v="12"/>
    <x v="13"/>
    <x v="5"/>
    <x v="3"/>
    <x v="1"/>
    <x v="2"/>
    <x v="3"/>
    <x v="3"/>
    <x v="1"/>
    <x v="1"/>
    <x v="11"/>
  </r>
  <r>
    <x v="2"/>
    <x v="14"/>
    <x v="14"/>
    <x v="14"/>
    <x v="3"/>
    <x v="10"/>
    <x v="10"/>
    <x v="10"/>
    <x v="13"/>
    <x v="14"/>
    <x v="6"/>
    <x v="6"/>
    <x v="2"/>
    <x v="3"/>
    <x v="6"/>
    <x v="4"/>
    <x v="2"/>
    <x v="2"/>
    <x v="19"/>
  </r>
  <r>
    <x v="3"/>
    <x v="15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16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17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18"/>
    <x v="3"/>
    <x v="3"/>
    <x v="0"/>
    <x v="3"/>
    <x v="3"/>
    <x v="3"/>
    <x v="0"/>
    <x v="3"/>
    <x v="0"/>
    <x v="0"/>
    <x v="0"/>
    <x v="0"/>
    <x v="0"/>
    <x v="5"/>
    <x v="0"/>
    <x v="0"/>
    <x v="5"/>
  </r>
  <r>
    <x v="1"/>
    <x v="19"/>
    <x v="3"/>
    <x v="3"/>
    <x v="0"/>
    <x v="3"/>
    <x v="3"/>
    <x v="3"/>
    <x v="0"/>
    <x v="3"/>
    <x v="0"/>
    <x v="0"/>
    <x v="0"/>
    <x v="0"/>
    <x v="0"/>
    <x v="5"/>
    <x v="0"/>
    <x v="0"/>
    <x v="5"/>
  </r>
  <r>
    <x v="1"/>
    <x v="20"/>
    <x v="0"/>
    <x v="0"/>
    <x v="0"/>
    <x v="0"/>
    <x v="0"/>
    <x v="0"/>
    <x v="10"/>
    <x v="0"/>
    <x v="0"/>
    <x v="2"/>
    <x v="0"/>
    <x v="1"/>
    <x v="2"/>
    <x v="2"/>
    <x v="0"/>
    <x v="0"/>
    <x v="20"/>
  </r>
  <r>
    <x v="1"/>
    <x v="3"/>
    <x v="3"/>
    <x v="3"/>
    <x v="0"/>
    <x v="3"/>
    <x v="3"/>
    <x v="3"/>
    <x v="14"/>
    <x v="3"/>
    <x v="0"/>
    <x v="1"/>
    <x v="0"/>
    <x v="1"/>
    <x v="1"/>
    <x v="2"/>
    <x v="0"/>
    <x v="1"/>
    <x v="21"/>
  </r>
  <r>
    <x v="1"/>
    <x v="21"/>
    <x v="2"/>
    <x v="2"/>
    <x v="0"/>
    <x v="2"/>
    <x v="2"/>
    <x v="2"/>
    <x v="3"/>
    <x v="2"/>
    <x v="2"/>
    <x v="0"/>
    <x v="0"/>
    <x v="0"/>
    <x v="0"/>
    <x v="1"/>
    <x v="0"/>
    <x v="0"/>
    <x v="3"/>
  </r>
  <r>
    <x v="1"/>
    <x v="22"/>
    <x v="2"/>
    <x v="2"/>
    <x v="0"/>
    <x v="2"/>
    <x v="2"/>
    <x v="2"/>
    <x v="3"/>
    <x v="2"/>
    <x v="2"/>
    <x v="0"/>
    <x v="0"/>
    <x v="0"/>
    <x v="0"/>
    <x v="1"/>
    <x v="0"/>
    <x v="0"/>
    <x v="3"/>
  </r>
  <r>
    <x v="1"/>
    <x v="23"/>
    <x v="5"/>
    <x v="5"/>
    <x v="0"/>
    <x v="5"/>
    <x v="5"/>
    <x v="5"/>
    <x v="3"/>
    <x v="5"/>
    <x v="2"/>
    <x v="0"/>
    <x v="0"/>
    <x v="0"/>
    <x v="0"/>
    <x v="0"/>
    <x v="0"/>
    <x v="0"/>
    <x v="8"/>
  </r>
  <r>
    <x v="1"/>
    <x v="24"/>
    <x v="2"/>
    <x v="2"/>
    <x v="0"/>
    <x v="2"/>
    <x v="2"/>
    <x v="2"/>
    <x v="10"/>
    <x v="2"/>
    <x v="2"/>
    <x v="2"/>
    <x v="0"/>
    <x v="1"/>
    <x v="2"/>
    <x v="2"/>
    <x v="0"/>
    <x v="0"/>
    <x v="22"/>
  </r>
  <r>
    <x v="1"/>
    <x v="3"/>
    <x v="5"/>
    <x v="5"/>
    <x v="0"/>
    <x v="5"/>
    <x v="5"/>
    <x v="5"/>
    <x v="15"/>
    <x v="5"/>
    <x v="2"/>
    <x v="1"/>
    <x v="0"/>
    <x v="1"/>
    <x v="1"/>
    <x v="0"/>
    <x v="0"/>
    <x v="1"/>
    <x v="23"/>
  </r>
  <r>
    <x v="1"/>
    <x v="25"/>
    <x v="6"/>
    <x v="6"/>
    <x v="1"/>
    <x v="6"/>
    <x v="6"/>
    <x v="6"/>
    <x v="16"/>
    <x v="6"/>
    <x v="4"/>
    <x v="0"/>
    <x v="0"/>
    <x v="0"/>
    <x v="0"/>
    <x v="0"/>
    <x v="0"/>
    <x v="0"/>
    <x v="24"/>
  </r>
  <r>
    <x v="1"/>
    <x v="3"/>
    <x v="7"/>
    <x v="7"/>
    <x v="1"/>
    <x v="7"/>
    <x v="7"/>
    <x v="7"/>
    <x v="16"/>
    <x v="7"/>
    <x v="4"/>
    <x v="3"/>
    <x v="0"/>
    <x v="2"/>
    <x v="3"/>
    <x v="0"/>
    <x v="0"/>
    <x v="1"/>
    <x v="11"/>
  </r>
  <r>
    <x v="1"/>
    <x v="26"/>
    <x v="10"/>
    <x v="10"/>
    <x v="1"/>
    <x v="6"/>
    <x v="6"/>
    <x v="6"/>
    <x v="17"/>
    <x v="10"/>
    <x v="4"/>
    <x v="0"/>
    <x v="0"/>
    <x v="0"/>
    <x v="0"/>
    <x v="0"/>
    <x v="0"/>
    <x v="0"/>
    <x v="25"/>
  </r>
  <r>
    <x v="1"/>
    <x v="27"/>
    <x v="8"/>
    <x v="8"/>
    <x v="0"/>
    <x v="8"/>
    <x v="8"/>
    <x v="8"/>
    <x v="9"/>
    <x v="8"/>
    <x v="1"/>
    <x v="2"/>
    <x v="0"/>
    <x v="1"/>
    <x v="2"/>
    <x v="0"/>
    <x v="0"/>
    <x v="0"/>
    <x v="26"/>
  </r>
  <r>
    <x v="1"/>
    <x v="3"/>
    <x v="9"/>
    <x v="9"/>
    <x v="0"/>
    <x v="9"/>
    <x v="9"/>
    <x v="9"/>
    <x v="9"/>
    <x v="9"/>
    <x v="3"/>
    <x v="2"/>
    <x v="0"/>
    <x v="1"/>
    <x v="2"/>
    <x v="6"/>
    <x v="0"/>
    <x v="1"/>
    <x v="27"/>
  </r>
  <r>
    <x v="1"/>
    <x v="3"/>
    <x v="6"/>
    <x v="6"/>
    <x v="1"/>
    <x v="6"/>
    <x v="6"/>
    <x v="6"/>
    <x v="8"/>
    <x v="6"/>
    <x v="4"/>
    <x v="4"/>
    <x v="0"/>
    <x v="1"/>
    <x v="4"/>
    <x v="0"/>
    <x v="0"/>
    <x v="1"/>
    <x v="14"/>
  </r>
  <r>
    <x v="1"/>
    <x v="3"/>
    <x v="7"/>
    <x v="7"/>
    <x v="1"/>
    <x v="7"/>
    <x v="7"/>
    <x v="7"/>
    <x v="8"/>
    <x v="7"/>
    <x v="4"/>
    <x v="3"/>
    <x v="0"/>
    <x v="2"/>
    <x v="3"/>
    <x v="0"/>
    <x v="0"/>
    <x v="1"/>
    <x v="11"/>
  </r>
  <r>
    <x v="1"/>
    <x v="3"/>
    <x v="10"/>
    <x v="10"/>
    <x v="1"/>
    <x v="7"/>
    <x v="7"/>
    <x v="7"/>
    <x v="18"/>
    <x v="10"/>
    <x v="4"/>
    <x v="4"/>
    <x v="0"/>
    <x v="1"/>
    <x v="4"/>
    <x v="0"/>
    <x v="0"/>
    <x v="1"/>
    <x v="28"/>
  </r>
  <r>
    <x v="1"/>
    <x v="3"/>
    <x v="13"/>
    <x v="13"/>
    <x v="2"/>
    <x v="7"/>
    <x v="7"/>
    <x v="7"/>
    <x v="12"/>
    <x v="13"/>
    <x v="5"/>
    <x v="3"/>
    <x v="1"/>
    <x v="2"/>
    <x v="3"/>
    <x v="3"/>
    <x v="1"/>
    <x v="1"/>
    <x v="11"/>
  </r>
  <r>
    <x v="2"/>
    <x v="14"/>
    <x v="14"/>
    <x v="14"/>
    <x v="3"/>
    <x v="10"/>
    <x v="10"/>
    <x v="10"/>
    <x v="13"/>
    <x v="14"/>
    <x v="6"/>
    <x v="6"/>
    <x v="2"/>
    <x v="3"/>
    <x v="6"/>
    <x v="4"/>
    <x v="2"/>
    <x v="2"/>
    <x v="19"/>
  </r>
  <r>
    <x v="4"/>
    <x v="28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29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30"/>
    <x v="3"/>
    <x v="3"/>
    <x v="0"/>
    <x v="3"/>
    <x v="3"/>
    <x v="3"/>
    <x v="0"/>
    <x v="3"/>
    <x v="0"/>
    <x v="0"/>
    <x v="0"/>
    <x v="0"/>
    <x v="0"/>
    <x v="5"/>
    <x v="0"/>
    <x v="0"/>
    <x v="5"/>
  </r>
  <r>
    <x v="1"/>
    <x v="31"/>
    <x v="3"/>
    <x v="3"/>
    <x v="0"/>
    <x v="3"/>
    <x v="3"/>
    <x v="3"/>
    <x v="0"/>
    <x v="3"/>
    <x v="0"/>
    <x v="0"/>
    <x v="0"/>
    <x v="0"/>
    <x v="0"/>
    <x v="5"/>
    <x v="0"/>
    <x v="0"/>
    <x v="5"/>
  </r>
  <r>
    <x v="1"/>
    <x v="32"/>
    <x v="0"/>
    <x v="0"/>
    <x v="0"/>
    <x v="0"/>
    <x v="0"/>
    <x v="0"/>
    <x v="19"/>
    <x v="0"/>
    <x v="0"/>
    <x v="7"/>
    <x v="0"/>
    <x v="1"/>
    <x v="7"/>
    <x v="2"/>
    <x v="0"/>
    <x v="0"/>
    <x v="29"/>
  </r>
  <r>
    <x v="1"/>
    <x v="3"/>
    <x v="3"/>
    <x v="3"/>
    <x v="0"/>
    <x v="3"/>
    <x v="3"/>
    <x v="3"/>
    <x v="20"/>
    <x v="3"/>
    <x v="0"/>
    <x v="8"/>
    <x v="0"/>
    <x v="1"/>
    <x v="8"/>
    <x v="2"/>
    <x v="0"/>
    <x v="1"/>
    <x v="30"/>
  </r>
  <r>
    <x v="1"/>
    <x v="33"/>
    <x v="2"/>
    <x v="2"/>
    <x v="0"/>
    <x v="2"/>
    <x v="2"/>
    <x v="2"/>
    <x v="3"/>
    <x v="2"/>
    <x v="2"/>
    <x v="0"/>
    <x v="0"/>
    <x v="0"/>
    <x v="0"/>
    <x v="1"/>
    <x v="0"/>
    <x v="0"/>
    <x v="3"/>
  </r>
  <r>
    <x v="1"/>
    <x v="34"/>
    <x v="2"/>
    <x v="2"/>
    <x v="0"/>
    <x v="2"/>
    <x v="2"/>
    <x v="2"/>
    <x v="21"/>
    <x v="2"/>
    <x v="2"/>
    <x v="9"/>
    <x v="0"/>
    <x v="1"/>
    <x v="9"/>
    <x v="5"/>
    <x v="0"/>
    <x v="0"/>
    <x v="31"/>
  </r>
  <r>
    <x v="1"/>
    <x v="35"/>
    <x v="5"/>
    <x v="5"/>
    <x v="0"/>
    <x v="5"/>
    <x v="5"/>
    <x v="5"/>
    <x v="3"/>
    <x v="5"/>
    <x v="2"/>
    <x v="0"/>
    <x v="0"/>
    <x v="0"/>
    <x v="0"/>
    <x v="1"/>
    <x v="0"/>
    <x v="0"/>
    <x v="8"/>
  </r>
  <r>
    <x v="1"/>
    <x v="36"/>
    <x v="5"/>
    <x v="5"/>
    <x v="0"/>
    <x v="5"/>
    <x v="5"/>
    <x v="5"/>
    <x v="14"/>
    <x v="5"/>
    <x v="2"/>
    <x v="10"/>
    <x v="0"/>
    <x v="1"/>
    <x v="10"/>
    <x v="2"/>
    <x v="0"/>
    <x v="0"/>
    <x v="32"/>
  </r>
  <r>
    <x v="1"/>
    <x v="37"/>
    <x v="8"/>
    <x v="8"/>
    <x v="0"/>
    <x v="8"/>
    <x v="8"/>
    <x v="8"/>
    <x v="9"/>
    <x v="8"/>
    <x v="1"/>
    <x v="2"/>
    <x v="0"/>
    <x v="1"/>
    <x v="2"/>
    <x v="0"/>
    <x v="0"/>
    <x v="0"/>
    <x v="26"/>
  </r>
  <r>
    <x v="1"/>
    <x v="3"/>
    <x v="10"/>
    <x v="10"/>
    <x v="1"/>
    <x v="6"/>
    <x v="6"/>
    <x v="6"/>
    <x v="22"/>
    <x v="10"/>
    <x v="4"/>
    <x v="1"/>
    <x v="0"/>
    <x v="1"/>
    <x v="1"/>
    <x v="0"/>
    <x v="0"/>
    <x v="1"/>
    <x v="33"/>
  </r>
  <r>
    <x v="1"/>
    <x v="38"/>
    <x v="9"/>
    <x v="9"/>
    <x v="0"/>
    <x v="9"/>
    <x v="9"/>
    <x v="9"/>
    <x v="9"/>
    <x v="9"/>
    <x v="3"/>
    <x v="2"/>
    <x v="0"/>
    <x v="1"/>
    <x v="2"/>
    <x v="6"/>
    <x v="0"/>
    <x v="0"/>
    <x v="34"/>
  </r>
  <r>
    <x v="1"/>
    <x v="3"/>
    <x v="6"/>
    <x v="6"/>
    <x v="1"/>
    <x v="6"/>
    <x v="6"/>
    <x v="6"/>
    <x v="23"/>
    <x v="6"/>
    <x v="4"/>
    <x v="1"/>
    <x v="0"/>
    <x v="1"/>
    <x v="1"/>
    <x v="0"/>
    <x v="0"/>
    <x v="1"/>
    <x v="35"/>
  </r>
  <r>
    <x v="1"/>
    <x v="3"/>
    <x v="7"/>
    <x v="7"/>
    <x v="1"/>
    <x v="7"/>
    <x v="7"/>
    <x v="7"/>
    <x v="23"/>
    <x v="7"/>
    <x v="4"/>
    <x v="3"/>
    <x v="0"/>
    <x v="2"/>
    <x v="3"/>
    <x v="0"/>
    <x v="0"/>
    <x v="1"/>
    <x v="11"/>
  </r>
  <r>
    <x v="1"/>
    <x v="3"/>
    <x v="13"/>
    <x v="13"/>
    <x v="2"/>
    <x v="7"/>
    <x v="7"/>
    <x v="7"/>
    <x v="12"/>
    <x v="13"/>
    <x v="5"/>
    <x v="3"/>
    <x v="1"/>
    <x v="2"/>
    <x v="3"/>
    <x v="3"/>
    <x v="1"/>
    <x v="1"/>
    <x v="11"/>
  </r>
  <r>
    <x v="2"/>
    <x v="14"/>
    <x v="14"/>
    <x v="14"/>
    <x v="3"/>
    <x v="10"/>
    <x v="10"/>
    <x v="10"/>
    <x v="13"/>
    <x v="14"/>
    <x v="6"/>
    <x v="6"/>
    <x v="2"/>
    <x v="3"/>
    <x v="6"/>
    <x v="4"/>
    <x v="2"/>
    <x v="2"/>
    <x v="19"/>
  </r>
  <r>
    <x v="5"/>
    <x v="39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4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1"/>
    <x v="41"/>
    <x v="0"/>
    <x v="0"/>
    <x v="0"/>
    <x v="0"/>
    <x v="0"/>
    <x v="0"/>
    <x v="19"/>
    <x v="0"/>
    <x v="0"/>
    <x v="7"/>
    <x v="0"/>
    <x v="1"/>
    <x v="7"/>
    <x v="2"/>
    <x v="0"/>
    <x v="0"/>
    <x v="29"/>
  </r>
  <r>
    <x v="1"/>
    <x v="3"/>
    <x v="11"/>
    <x v="11"/>
    <x v="1"/>
    <x v="6"/>
    <x v="6"/>
    <x v="6"/>
    <x v="18"/>
    <x v="11"/>
    <x v="4"/>
    <x v="4"/>
    <x v="0"/>
    <x v="1"/>
    <x v="4"/>
    <x v="0"/>
    <x v="0"/>
    <x v="1"/>
    <x v="36"/>
  </r>
  <r>
    <x v="1"/>
    <x v="42"/>
    <x v="2"/>
    <x v="2"/>
    <x v="0"/>
    <x v="2"/>
    <x v="2"/>
    <x v="2"/>
    <x v="3"/>
    <x v="2"/>
    <x v="2"/>
    <x v="0"/>
    <x v="0"/>
    <x v="0"/>
    <x v="0"/>
    <x v="1"/>
    <x v="0"/>
    <x v="0"/>
    <x v="3"/>
  </r>
  <r>
    <x v="1"/>
    <x v="43"/>
    <x v="2"/>
    <x v="2"/>
    <x v="0"/>
    <x v="2"/>
    <x v="2"/>
    <x v="2"/>
    <x v="21"/>
    <x v="2"/>
    <x v="2"/>
    <x v="9"/>
    <x v="0"/>
    <x v="1"/>
    <x v="9"/>
    <x v="5"/>
    <x v="0"/>
    <x v="0"/>
    <x v="31"/>
  </r>
  <r>
    <x v="1"/>
    <x v="44"/>
    <x v="3"/>
    <x v="3"/>
    <x v="0"/>
    <x v="3"/>
    <x v="3"/>
    <x v="3"/>
    <x v="0"/>
    <x v="3"/>
    <x v="0"/>
    <x v="0"/>
    <x v="0"/>
    <x v="0"/>
    <x v="0"/>
    <x v="0"/>
    <x v="0"/>
    <x v="0"/>
    <x v="5"/>
  </r>
  <r>
    <x v="1"/>
    <x v="45"/>
    <x v="3"/>
    <x v="3"/>
    <x v="0"/>
    <x v="3"/>
    <x v="3"/>
    <x v="3"/>
    <x v="0"/>
    <x v="3"/>
    <x v="0"/>
    <x v="0"/>
    <x v="0"/>
    <x v="0"/>
    <x v="0"/>
    <x v="0"/>
    <x v="0"/>
    <x v="0"/>
    <x v="5"/>
  </r>
  <r>
    <x v="1"/>
    <x v="46"/>
    <x v="5"/>
    <x v="5"/>
    <x v="0"/>
    <x v="5"/>
    <x v="5"/>
    <x v="5"/>
    <x v="3"/>
    <x v="5"/>
    <x v="2"/>
    <x v="0"/>
    <x v="0"/>
    <x v="0"/>
    <x v="0"/>
    <x v="0"/>
    <x v="0"/>
    <x v="0"/>
    <x v="8"/>
  </r>
  <r>
    <x v="1"/>
    <x v="47"/>
    <x v="3"/>
    <x v="3"/>
    <x v="0"/>
    <x v="3"/>
    <x v="3"/>
    <x v="3"/>
    <x v="24"/>
    <x v="3"/>
    <x v="0"/>
    <x v="11"/>
    <x v="0"/>
    <x v="1"/>
    <x v="11"/>
    <x v="0"/>
    <x v="0"/>
    <x v="0"/>
    <x v="37"/>
  </r>
  <r>
    <x v="1"/>
    <x v="3"/>
    <x v="5"/>
    <x v="5"/>
    <x v="0"/>
    <x v="5"/>
    <x v="5"/>
    <x v="5"/>
    <x v="25"/>
    <x v="5"/>
    <x v="2"/>
    <x v="12"/>
    <x v="0"/>
    <x v="1"/>
    <x v="12"/>
    <x v="0"/>
    <x v="0"/>
    <x v="1"/>
    <x v="38"/>
  </r>
  <r>
    <x v="1"/>
    <x v="3"/>
    <x v="1"/>
    <x v="1"/>
    <x v="0"/>
    <x v="1"/>
    <x v="1"/>
    <x v="1"/>
    <x v="2"/>
    <x v="1"/>
    <x v="1"/>
    <x v="2"/>
    <x v="0"/>
    <x v="1"/>
    <x v="2"/>
    <x v="1"/>
    <x v="0"/>
    <x v="1"/>
    <x v="2"/>
  </r>
  <r>
    <x v="1"/>
    <x v="3"/>
    <x v="4"/>
    <x v="4"/>
    <x v="0"/>
    <x v="4"/>
    <x v="4"/>
    <x v="4"/>
    <x v="2"/>
    <x v="4"/>
    <x v="3"/>
    <x v="2"/>
    <x v="0"/>
    <x v="1"/>
    <x v="2"/>
    <x v="1"/>
    <x v="0"/>
    <x v="1"/>
    <x v="7"/>
  </r>
  <r>
    <x v="1"/>
    <x v="3"/>
    <x v="8"/>
    <x v="8"/>
    <x v="0"/>
    <x v="8"/>
    <x v="8"/>
    <x v="8"/>
    <x v="26"/>
    <x v="8"/>
    <x v="1"/>
    <x v="4"/>
    <x v="0"/>
    <x v="1"/>
    <x v="4"/>
    <x v="1"/>
    <x v="0"/>
    <x v="1"/>
    <x v="39"/>
  </r>
  <r>
    <x v="1"/>
    <x v="48"/>
    <x v="9"/>
    <x v="9"/>
    <x v="0"/>
    <x v="9"/>
    <x v="9"/>
    <x v="9"/>
    <x v="26"/>
    <x v="9"/>
    <x v="3"/>
    <x v="5"/>
    <x v="0"/>
    <x v="1"/>
    <x v="5"/>
    <x v="7"/>
    <x v="0"/>
    <x v="0"/>
    <x v="40"/>
  </r>
  <r>
    <x v="1"/>
    <x v="3"/>
    <x v="6"/>
    <x v="6"/>
    <x v="1"/>
    <x v="6"/>
    <x v="6"/>
    <x v="6"/>
    <x v="27"/>
    <x v="6"/>
    <x v="4"/>
    <x v="13"/>
    <x v="0"/>
    <x v="1"/>
    <x v="13"/>
    <x v="0"/>
    <x v="0"/>
    <x v="1"/>
    <x v="41"/>
  </r>
  <r>
    <x v="1"/>
    <x v="3"/>
    <x v="7"/>
    <x v="7"/>
    <x v="1"/>
    <x v="7"/>
    <x v="7"/>
    <x v="7"/>
    <x v="28"/>
    <x v="7"/>
    <x v="4"/>
    <x v="3"/>
    <x v="0"/>
    <x v="2"/>
    <x v="3"/>
    <x v="0"/>
    <x v="0"/>
    <x v="1"/>
    <x v="11"/>
  </r>
  <r>
    <x v="1"/>
    <x v="49"/>
    <x v="10"/>
    <x v="10"/>
    <x v="1"/>
    <x v="6"/>
    <x v="6"/>
    <x v="6"/>
    <x v="29"/>
    <x v="10"/>
    <x v="4"/>
    <x v="13"/>
    <x v="0"/>
    <x v="1"/>
    <x v="13"/>
    <x v="0"/>
    <x v="0"/>
    <x v="0"/>
    <x v="42"/>
  </r>
  <r>
    <x v="1"/>
    <x v="3"/>
    <x v="12"/>
    <x v="12"/>
    <x v="1"/>
    <x v="7"/>
    <x v="7"/>
    <x v="7"/>
    <x v="10"/>
    <x v="12"/>
    <x v="4"/>
    <x v="2"/>
    <x v="0"/>
    <x v="1"/>
    <x v="2"/>
    <x v="0"/>
    <x v="0"/>
    <x v="1"/>
    <x v="17"/>
  </r>
  <r>
    <x v="1"/>
    <x v="3"/>
    <x v="15"/>
    <x v="15"/>
    <x v="1"/>
    <x v="7"/>
    <x v="7"/>
    <x v="7"/>
    <x v="10"/>
    <x v="15"/>
    <x v="4"/>
    <x v="2"/>
    <x v="0"/>
    <x v="1"/>
    <x v="2"/>
    <x v="0"/>
    <x v="0"/>
    <x v="1"/>
    <x v="43"/>
  </r>
  <r>
    <x v="1"/>
    <x v="3"/>
    <x v="13"/>
    <x v="13"/>
    <x v="2"/>
    <x v="7"/>
    <x v="7"/>
    <x v="7"/>
    <x v="12"/>
    <x v="13"/>
    <x v="5"/>
    <x v="3"/>
    <x v="1"/>
    <x v="2"/>
    <x v="3"/>
    <x v="3"/>
    <x v="1"/>
    <x v="1"/>
    <x v="11"/>
  </r>
  <r>
    <x v="2"/>
    <x v="14"/>
    <x v="14"/>
    <x v="14"/>
    <x v="3"/>
    <x v="10"/>
    <x v="10"/>
    <x v="10"/>
    <x v="13"/>
    <x v="14"/>
    <x v="6"/>
    <x v="6"/>
    <x v="2"/>
    <x v="3"/>
    <x v="6"/>
    <x v="4"/>
    <x v="2"/>
    <x v="2"/>
    <x v="19"/>
  </r>
  <r>
    <x v="6"/>
    <x v="5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5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52"/>
    <x v="2"/>
    <x v="2"/>
    <x v="0"/>
    <x v="2"/>
    <x v="2"/>
    <x v="2"/>
    <x v="3"/>
    <x v="2"/>
    <x v="2"/>
    <x v="0"/>
    <x v="0"/>
    <x v="0"/>
    <x v="0"/>
    <x v="1"/>
    <x v="0"/>
    <x v="0"/>
    <x v="3"/>
  </r>
  <r>
    <x v="1"/>
    <x v="53"/>
    <x v="3"/>
    <x v="3"/>
    <x v="0"/>
    <x v="3"/>
    <x v="3"/>
    <x v="3"/>
    <x v="0"/>
    <x v="3"/>
    <x v="0"/>
    <x v="0"/>
    <x v="0"/>
    <x v="0"/>
    <x v="0"/>
    <x v="0"/>
    <x v="0"/>
    <x v="0"/>
    <x v="5"/>
  </r>
  <r>
    <x v="1"/>
    <x v="54"/>
    <x v="5"/>
    <x v="5"/>
    <x v="0"/>
    <x v="5"/>
    <x v="5"/>
    <x v="5"/>
    <x v="3"/>
    <x v="5"/>
    <x v="2"/>
    <x v="0"/>
    <x v="0"/>
    <x v="0"/>
    <x v="0"/>
    <x v="0"/>
    <x v="0"/>
    <x v="0"/>
    <x v="8"/>
  </r>
  <r>
    <x v="1"/>
    <x v="55"/>
    <x v="3"/>
    <x v="3"/>
    <x v="0"/>
    <x v="3"/>
    <x v="3"/>
    <x v="3"/>
    <x v="30"/>
    <x v="3"/>
    <x v="0"/>
    <x v="14"/>
    <x v="0"/>
    <x v="1"/>
    <x v="14"/>
    <x v="0"/>
    <x v="0"/>
    <x v="0"/>
    <x v="44"/>
  </r>
  <r>
    <x v="1"/>
    <x v="3"/>
    <x v="5"/>
    <x v="5"/>
    <x v="0"/>
    <x v="5"/>
    <x v="5"/>
    <x v="5"/>
    <x v="8"/>
    <x v="5"/>
    <x v="2"/>
    <x v="15"/>
    <x v="0"/>
    <x v="1"/>
    <x v="15"/>
    <x v="0"/>
    <x v="0"/>
    <x v="1"/>
    <x v="45"/>
  </r>
  <r>
    <x v="1"/>
    <x v="56"/>
    <x v="0"/>
    <x v="0"/>
    <x v="0"/>
    <x v="0"/>
    <x v="0"/>
    <x v="0"/>
    <x v="31"/>
    <x v="0"/>
    <x v="0"/>
    <x v="2"/>
    <x v="0"/>
    <x v="1"/>
    <x v="2"/>
    <x v="0"/>
    <x v="0"/>
    <x v="0"/>
    <x v="46"/>
  </r>
  <r>
    <x v="1"/>
    <x v="3"/>
    <x v="2"/>
    <x v="2"/>
    <x v="0"/>
    <x v="2"/>
    <x v="2"/>
    <x v="2"/>
    <x v="32"/>
    <x v="2"/>
    <x v="2"/>
    <x v="16"/>
    <x v="0"/>
    <x v="1"/>
    <x v="16"/>
    <x v="2"/>
    <x v="0"/>
    <x v="1"/>
    <x v="47"/>
  </r>
  <r>
    <x v="1"/>
    <x v="3"/>
    <x v="1"/>
    <x v="1"/>
    <x v="0"/>
    <x v="1"/>
    <x v="1"/>
    <x v="1"/>
    <x v="2"/>
    <x v="1"/>
    <x v="1"/>
    <x v="2"/>
    <x v="0"/>
    <x v="1"/>
    <x v="2"/>
    <x v="1"/>
    <x v="0"/>
    <x v="1"/>
    <x v="2"/>
  </r>
  <r>
    <x v="1"/>
    <x v="3"/>
    <x v="4"/>
    <x v="4"/>
    <x v="0"/>
    <x v="4"/>
    <x v="4"/>
    <x v="4"/>
    <x v="2"/>
    <x v="4"/>
    <x v="3"/>
    <x v="2"/>
    <x v="0"/>
    <x v="1"/>
    <x v="2"/>
    <x v="1"/>
    <x v="0"/>
    <x v="1"/>
    <x v="7"/>
  </r>
  <r>
    <x v="1"/>
    <x v="3"/>
    <x v="8"/>
    <x v="8"/>
    <x v="0"/>
    <x v="8"/>
    <x v="8"/>
    <x v="8"/>
    <x v="26"/>
    <x v="8"/>
    <x v="1"/>
    <x v="4"/>
    <x v="0"/>
    <x v="1"/>
    <x v="4"/>
    <x v="1"/>
    <x v="0"/>
    <x v="1"/>
    <x v="39"/>
  </r>
  <r>
    <x v="1"/>
    <x v="3"/>
    <x v="9"/>
    <x v="9"/>
    <x v="0"/>
    <x v="9"/>
    <x v="9"/>
    <x v="9"/>
    <x v="26"/>
    <x v="9"/>
    <x v="3"/>
    <x v="5"/>
    <x v="0"/>
    <x v="1"/>
    <x v="5"/>
    <x v="7"/>
    <x v="0"/>
    <x v="1"/>
    <x v="48"/>
  </r>
  <r>
    <x v="1"/>
    <x v="3"/>
    <x v="11"/>
    <x v="11"/>
    <x v="1"/>
    <x v="6"/>
    <x v="6"/>
    <x v="6"/>
    <x v="33"/>
    <x v="11"/>
    <x v="4"/>
    <x v="4"/>
    <x v="0"/>
    <x v="1"/>
    <x v="4"/>
    <x v="0"/>
    <x v="0"/>
    <x v="1"/>
    <x v="49"/>
  </r>
  <r>
    <x v="1"/>
    <x v="3"/>
    <x v="12"/>
    <x v="12"/>
    <x v="1"/>
    <x v="7"/>
    <x v="7"/>
    <x v="7"/>
    <x v="10"/>
    <x v="12"/>
    <x v="4"/>
    <x v="2"/>
    <x v="0"/>
    <x v="1"/>
    <x v="2"/>
    <x v="0"/>
    <x v="0"/>
    <x v="1"/>
    <x v="17"/>
  </r>
  <r>
    <x v="1"/>
    <x v="57"/>
    <x v="6"/>
    <x v="6"/>
    <x v="1"/>
    <x v="6"/>
    <x v="6"/>
    <x v="6"/>
    <x v="3"/>
    <x v="6"/>
    <x v="4"/>
    <x v="14"/>
    <x v="0"/>
    <x v="1"/>
    <x v="14"/>
    <x v="0"/>
    <x v="0"/>
    <x v="0"/>
    <x v="50"/>
  </r>
  <r>
    <x v="1"/>
    <x v="3"/>
    <x v="7"/>
    <x v="7"/>
    <x v="1"/>
    <x v="7"/>
    <x v="7"/>
    <x v="7"/>
    <x v="34"/>
    <x v="7"/>
    <x v="4"/>
    <x v="3"/>
    <x v="0"/>
    <x v="2"/>
    <x v="3"/>
    <x v="0"/>
    <x v="0"/>
    <x v="1"/>
    <x v="11"/>
  </r>
  <r>
    <x v="1"/>
    <x v="58"/>
    <x v="10"/>
    <x v="10"/>
    <x v="1"/>
    <x v="6"/>
    <x v="6"/>
    <x v="6"/>
    <x v="35"/>
    <x v="10"/>
    <x v="4"/>
    <x v="14"/>
    <x v="0"/>
    <x v="1"/>
    <x v="14"/>
    <x v="0"/>
    <x v="0"/>
    <x v="0"/>
    <x v="51"/>
  </r>
  <r>
    <x v="1"/>
    <x v="3"/>
    <x v="13"/>
    <x v="13"/>
    <x v="2"/>
    <x v="7"/>
    <x v="7"/>
    <x v="7"/>
    <x v="12"/>
    <x v="13"/>
    <x v="5"/>
    <x v="3"/>
    <x v="1"/>
    <x v="2"/>
    <x v="3"/>
    <x v="3"/>
    <x v="1"/>
    <x v="1"/>
    <x v="11"/>
  </r>
  <r>
    <x v="2"/>
    <x v="14"/>
    <x v="14"/>
    <x v="14"/>
    <x v="3"/>
    <x v="10"/>
    <x v="10"/>
    <x v="10"/>
    <x v="13"/>
    <x v="14"/>
    <x v="6"/>
    <x v="6"/>
    <x v="2"/>
    <x v="3"/>
    <x v="6"/>
    <x v="4"/>
    <x v="2"/>
    <x v="2"/>
    <x v="19"/>
  </r>
  <r>
    <x v="7"/>
    <x v="59"/>
    <x v="16"/>
    <x v="16"/>
    <x v="4"/>
    <x v="11"/>
    <x v="11"/>
    <x v="11"/>
    <x v="36"/>
    <x v="16"/>
    <x v="7"/>
    <x v="0"/>
    <x v="0"/>
    <x v="0"/>
    <x v="0"/>
    <x v="0"/>
    <x v="0"/>
    <x v="0"/>
    <x v="52"/>
  </r>
  <r>
    <x v="1"/>
    <x v="60"/>
    <x v="17"/>
    <x v="17"/>
    <x v="4"/>
    <x v="12"/>
    <x v="12"/>
    <x v="12"/>
    <x v="36"/>
    <x v="16"/>
    <x v="7"/>
    <x v="0"/>
    <x v="0"/>
    <x v="0"/>
    <x v="0"/>
    <x v="0"/>
    <x v="0"/>
    <x v="0"/>
    <x v="52"/>
  </r>
  <r>
    <x v="1"/>
    <x v="61"/>
    <x v="17"/>
    <x v="17"/>
    <x v="4"/>
    <x v="12"/>
    <x v="12"/>
    <x v="12"/>
    <x v="36"/>
    <x v="16"/>
    <x v="7"/>
    <x v="0"/>
    <x v="0"/>
    <x v="0"/>
    <x v="0"/>
    <x v="0"/>
    <x v="0"/>
    <x v="0"/>
    <x v="52"/>
  </r>
  <r>
    <x v="1"/>
    <x v="62"/>
    <x v="17"/>
    <x v="17"/>
    <x v="4"/>
    <x v="12"/>
    <x v="12"/>
    <x v="12"/>
    <x v="36"/>
    <x v="16"/>
    <x v="7"/>
    <x v="0"/>
    <x v="0"/>
    <x v="0"/>
    <x v="0"/>
    <x v="0"/>
    <x v="0"/>
    <x v="0"/>
    <x v="52"/>
  </r>
  <r>
    <x v="1"/>
    <x v="63"/>
    <x v="17"/>
    <x v="17"/>
    <x v="4"/>
    <x v="12"/>
    <x v="12"/>
    <x v="12"/>
    <x v="36"/>
    <x v="16"/>
    <x v="7"/>
    <x v="0"/>
    <x v="0"/>
    <x v="0"/>
    <x v="0"/>
    <x v="0"/>
    <x v="0"/>
    <x v="0"/>
    <x v="52"/>
  </r>
  <r>
    <x v="1"/>
    <x v="64"/>
    <x v="17"/>
    <x v="17"/>
    <x v="4"/>
    <x v="12"/>
    <x v="12"/>
    <x v="12"/>
    <x v="36"/>
    <x v="16"/>
    <x v="7"/>
    <x v="0"/>
    <x v="0"/>
    <x v="0"/>
    <x v="0"/>
    <x v="0"/>
    <x v="0"/>
    <x v="0"/>
    <x v="52"/>
  </r>
  <r>
    <x v="1"/>
    <x v="65"/>
    <x v="18"/>
    <x v="18"/>
    <x v="4"/>
    <x v="13"/>
    <x v="13"/>
    <x v="13"/>
    <x v="37"/>
    <x v="17"/>
    <x v="8"/>
    <x v="17"/>
    <x v="0"/>
    <x v="1"/>
    <x v="17"/>
    <x v="8"/>
    <x v="0"/>
    <x v="0"/>
    <x v="53"/>
  </r>
  <r>
    <x v="1"/>
    <x v="3"/>
    <x v="13"/>
    <x v="13"/>
    <x v="2"/>
    <x v="7"/>
    <x v="7"/>
    <x v="7"/>
    <x v="12"/>
    <x v="13"/>
    <x v="5"/>
    <x v="3"/>
    <x v="1"/>
    <x v="2"/>
    <x v="3"/>
    <x v="3"/>
    <x v="1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49" firstHeaderRow="1" firstDataRow="1" firstDataCol="3"/>
  <pivotFields count="19">
    <pivotField compact="0" showAll="0">
      <items count="9">
        <item x="2"/>
        <item x="0"/>
        <item x="3"/>
        <item x="4"/>
        <item x="5"/>
        <item x="6"/>
        <item x="7"/>
        <item x="1"/>
        <item t="default"/>
      </items>
    </pivotField>
    <pivotField compact="0" showAll="0">
      <items count="67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14"/>
        <item x="3"/>
        <item t="default"/>
      </items>
    </pivotField>
    <pivotField compact="0" showAll="0">
      <items count="20">
        <item x="16"/>
        <item x="17"/>
        <item x="18"/>
        <item x="6"/>
        <item x="7"/>
        <item x="10"/>
        <item x="11"/>
        <item x="12"/>
        <item x="15"/>
        <item x="1"/>
        <item x="4"/>
        <item x="8"/>
        <item x="9"/>
        <item x="0"/>
        <item x="2"/>
        <item x="3"/>
        <item x="5"/>
        <item x="14"/>
        <item x="13"/>
        <item t="default"/>
      </items>
    </pivotField>
    <pivotField axis="axisRow" compact="0" multipleItemSelectionAllowed="1" showAll="0">
      <items count="20">
        <item x="1"/>
        <item x="4"/>
        <item x="8"/>
        <item x="9"/>
        <item x="0"/>
        <item x="2"/>
        <item x="3"/>
        <item x="5"/>
        <item x="16"/>
        <item x="17"/>
        <item x="18"/>
        <item x="6"/>
        <item x="7"/>
        <item x="10"/>
        <item x="11"/>
        <item x="12"/>
        <item x="15"/>
        <item x="14"/>
        <item h="1" x="13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axis="axisRow" compact="0" multipleItemSelectionAllowed="1" showAll="0">
      <items count="15">
        <item x="10"/>
        <item x="4"/>
        <item x="1"/>
        <item x="9"/>
        <item x="8"/>
        <item x="5"/>
        <item x="2"/>
        <item x="3"/>
        <item x="0"/>
        <item x="11"/>
        <item x="12"/>
        <item x="13"/>
        <item x="6"/>
        <item h="1" x="7"/>
        <item t="default"/>
      </items>
    </pivotField>
    <pivotField axis="axisRow" compact="0" multipleItemSelectionAllowed="1" showAll="0">
      <items count="15">
        <item x="12"/>
        <item x="13"/>
        <item x="11"/>
        <item x="4"/>
        <item x="1"/>
        <item x="9"/>
        <item x="8"/>
        <item x="2"/>
        <item x="0"/>
        <item x="5"/>
        <item x="3"/>
        <item x="6"/>
        <item x="10"/>
        <item h="1" x="7"/>
        <item t="default"/>
      </items>
    </pivotField>
    <pivotField compact="0" showAll="0">
      <items count="15">
        <item x="6"/>
        <item x="1"/>
        <item x="4"/>
        <item x="8"/>
        <item x="9"/>
        <item x="0"/>
        <item x="2"/>
        <item x="3"/>
        <item x="5"/>
        <item x="11"/>
        <item x="12"/>
        <item x="13"/>
        <item x="10"/>
        <item x="7"/>
        <item t="default"/>
      </items>
    </pivotField>
    <pivotField dataField="1" compact="0" showAll="0">
      <items count="39">
        <item x="10"/>
        <item x="31"/>
        <item x="2"/>
        <item x="9"/>
        <item x="18"/>
        <item x="33"/>
        <item x="7"/>
        <item x="24"/>
        <item x="26"/>
        <item x="8"/>
        <item x="20"/>
        <item x="19"/>
        <item x="32"/>
        <item x="25"/>
        <item x="30"/>
        <item x="14"/>
        <item x="1"/>
        <item x="35"/>
        <item x="0"/>
        <item x="21"/>
        <item x="22"/>
        <item x="17"/>
        <item x="29"/>
        <item x="15"/>
        <item x="4"/>
        <item x="11"/>
        <item x="3"/>
        <item x="34"/>
        <item x="28"/>
        <item x="27"/>
        <item x="23"/>
        <item x="5"/>
        <item x="6"/>
        <item x="16"/>
        <item x="37"/>
        <item x="36"/>
        <item x="13"/>
        <item x="12"/>
        <item t="default"/>
      </items>
    </pivotField>
    <pivotField compact="0" showAll="0">
      <items count="19">
        <item x="16"/>
        <item x="17"/>
        <item x="6"/>
        <item x="4"/>
        <item x="8"/>
        <item x="9"/>
        <item x="7"/>
        <item x="1"/>
        <item x="10"/>
        <item x="2"/>
        <item x="3"/>
        <item x="5"/>
        <item x="0"/>
        <item x="11"/>
        <item x="12"/>
        <item x="15"/>
        <item x="14"/>
        <item x="13"/>
        <item t="default"/>
      </items>
    </pivotField>
    <pivotField compact="0" showAll="0">
      <items count="10">
        <item x="0"/>
        <item x="2"/>
        <item x="1"/>
        <item x="3"/>
        <item x="8"/>
        <item x="7"/>
        <item x="4"/>
        <item x="6"/>
        <item x="5"/>
        <item t="default"/>
      </items>
    </pivotField>
    <pivotField compact="0" showAll="0">
      <items count="19">
        <item x="2"/>
        <item x="5"/>
        <item x="4"/>
        <item x="15"/>
        <item x="11"/>
        <item x="16"/>
        <item x="8"/>
        <item x="12"/>
        <item x="7"/>
        <item x="10"/>
        <item x="9"/>
        <item x="17"/>
        <item x="14"/>
        <item x="13"/>
        <item x="1"/>
        <item x="0"/>
        <item x="6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19">
        <item x="0"/>
        <item x="2"/>
        <item x="5"/>
        <item x="4"/>
        <item x="15"/>
        <item x="11"/>
        <item x="16"/>
        <item x="8"/>
        <item x="12"/>
        <item x="7"/>
        <item x="10"/>
        <item x="9"/>
        <item x="17"/>
        <item x="14"/>
        <item x="13"/>
        <item x="1"/>
        <item x="6"/>
        <item x="3"/>
        <item t="default"/>
      </items>
    </pivotField>
    <pivotField compact="0" showAll="0">
      <items count="10">
        <item x="2"/>
        <item x="5"/>
        <item x="1"/>
        <item x="6"/>
        <item x="7"/>
        <item x="8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5">
        <item x="7"/>
        <item x="17"/>
        <item x="43"/>
        <item x="2"/>
        <item x="27"/>
        <item x="16"/>
        <item x="15"/>
        <item x="13"/>
        <item x="39"/>
        <item x="28"/>
        <item x="48"/>
        <item x="36"/>
        <item x="49"/>
        <item x="22"/>
        <item x="20"/>
        <item x="26"/>
        <item x="34"/>
        <item x="46"/>
        <item x="14"/>
        <item x="12"/>
        <item x="45"/>
        <item x="40"/>
        <item x="30"/>
        <item x="37"/>
        <item x="47"/>
        <item x="38"/>
        <item x="29"/>
        <item x="21"/>
        <item x="44"/>
        <item x="51"/>
        <item x="31"/>
        <item x="33"/>
        <item x="32"/>
        <item x="6"/>
        <item x="5"/>
        <item x="1"/>
        <item x="0"/>
        <item x="25"/>
        <item x="53"/>
        <item x="42"/>
        <item x="23"/>
        <item x="18"/>
        <item x="4"/>
        <item x="50"/>
        <item x="41"/>
        <item x="3"/>
        <item x="35"/>
        <item x="52"/>
        <item x="9"/>
        <item x="8"/>
        <item x="10"/>
        <item x="24"/>
        <item x="19"/>
        <item x="11"/>
        <item t="default"/>
      </items>
    </pivotField>
  </pivotFields>
  <rowFields count="3">
    <field x="3"/>
    <field x="5"/>
    <field x="6"/>
  </rowFields>
  <rowItems count="46">
    <i>
      <x/>
    </i>
    <i r="1">
      <x v="2"/>
    </i>
    <i r="2">
      <x v="4"/>
    </i>
    <i>
      <x v="1"/>
    </i>
    <i r="1">
      <x v="1"/>
    </i>
    <i r="2">
      <x v="3"/>
    </i>
    <i>
      <x v="2"/>
    </i>
    <i r="1">
      <x v="4"/>
    </i>
    <i r="2">
      <x v="6"/>
    </i>
    <i>
      <x v="3"/>
    </i>
    <i r="1">
      <x v="3"/>
    </i>
    <i r="2">
      <x v="5"/>
    </i>
    <i>
      <x v="4"/>
    </i>
    <i r="1">
      <x v="8"/>
    </i>
    <i r="2">
      <x v="8"/>
    </i>
    <i>
      <x v="5"/>
    </i>
    <i r="1">
      <x v="6"/>
    </i>
    <i r="2">
      <x v="7"/>
    </i>
    <i>
      <x v="6"/>
    </i>
    <i r="1">
      <x v="7"/>
    </i>
    <i r="2">
      <x v="10"/>
    </i>
    <i>
      <x v="7"/>
    </i>
    <i r="1">
      <x v="5"/>
    </i>
    <i r="2">
      <x v="9"/>
    </i>
    <i>
      <x v="8"/>
    </i>
    <i r="1">
      <x v="9"/>
    </i>
    <i r="2">
      <x v="2"/>
    </i>
    <i>
      <x v="9"/>
    </i>
    <i r="1">
      <x v="10"/>
    </i>
    <i r="2">
      <x/>
    </i>
    <i>
      <x v="10"/>
    </i>
    <i r="1">
      <x v="11"/>
    </i>
    <i r="2">
      <x v="1"/>
    </i>
    <i>
      <x v="11"/>
    </i>
    <i r="1">
      <x v="12"/>
    </i>
    <i r="2">
      <x v="11"/>
    </i>
    <i>
      <x v="13"/>
    </i>
    <i r="1">
      <x v="12"/>
    </i>
    <i r="2">
      <x v="11"/>
    </i>
    <i>
      <x v="14"/>
    </i>
    <i r="1">
      <x v="12"/>
    </i>
    <i r="2">
      <x v="11"/>
    </i>
    <i>
      <x v="17"/>
    </i>
    <i r="1">
      <x/>
    </i>
    <i r="2">
      <x v="12"/>
    </i>
    <i t="grand">
      <x/>
    </i>
  </rowItems>
  <colItems count="1">
    <i/>
  </colItems>
  <dataFields count="1">
    <dataField name="求和项:QTY(set)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"/>
  <sheetViews>
    <sheetView zoomScale="70" zoomScaleNormal="70" workbookViewId="0">
      <selection activeCell="C6" sqref="C6"/>
    </sheetView>
  </sheetViews>
  <sheetFormatPr defaultColWidth="9" defaultRowHeight="15"/>
  <cols>
    <col min="1" max="1" width="9" style="7"/>
    <col min="2" max="2" width="5.725" style="8" customWidth="1"/>
    <col min="3" max="4" width="17.25" style="8" customWidth="1"/>
    <col min="5" max="5" width="16.4416666666667" style="7" customWidth="1"/>
    <col min="6" max="6" width="23.225" style="7" customWidth="1"/>
    <col min="7" max="7" width="48.3833333333333" style="7" customWidth="1"/>
    <col min="8" max="8" width="17.25" style="8" customWidth="1"/>
    <col min="9" max="9" width="11.175" style="8" customWidth="1"/>
    <col min="10" max="10" width="13.3833333333333" style="8" customWidth="1"/>
    <col min="11" max="11" width="12" style="8" customWidth="1"/>
    <col min="12" max="12" width="13.2833333333333" style="8" customWidth="1"/>
    <col min="13" max="13" width="12" style="8" customWidth="1"/>
    <col min="14" max="16" width="10.6333333333333" style="8" customWidth="1"/>
    <col min="17" max="17" width="15.75" style="8" customWidth="1"/>
    <col min="18" max="18" width="18.1083333333333" style="8" customWidth="1"/>
    <col min="19" max="19" width="12.4166666666667" style="8" customWidth="1"/>
    <col min="20" max="20" width="16" style="8" customWidth="1"/>
    <col min="21" max="16384" width="9" style="7"/>
  </cols>
  <sheetData>
    <row r="1" s="6" customFormat="1" ht="31" customHeight="1" spans="1:2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5"/>
    </row>
    <row r="2" s="5" customFormat="1" ht="31.5" spans="1:2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1" t="s">
        <v>15</v>
      </c>
      <c r="P2" s="10" t="s">
        <v>16</v>
      </c>
      <c r="Q2" s="10" t="s">
        <v>17</v>
      </c>
      <c r="R2" s="10" t="s">
        <v>18</v>
      </c>
      <c r="S2" s="12" t="s">
        <v>19</v>
      </c>
      <c r="T2" s="11" t="s">
        <v>20</v>
      </c>
    </row>
    <row r="3" s="6" customFormat="1" ht="15.75" spans="1:22">
      <c r="A3" s="9" t="s">
        <v>21</v>
      </c>
      <c r="B3" s="9">
        <v>1</v>
      </c>
      <c r="C3" s="9" t="s">
        <v>22</v>
      </c>
      <c r="D3" s="9" t="s">
        <v>23</v>
      </c>
      <c r="E3" s="14" t="s">
        <v>24</v>
      </c>
      <c r="F3" s="14" t="s">
        <v>25</v>
      </c>
      <c r="G3" s="14" t="s">
        <v>26</v>
      </c>
      <c r="H3" s="15" t="s">
        <v>27</v>
      </c>
      <c r="I3" s="16">
        <v>118</v>
      </c>
      <c r="J3" s="17">
        <v>7.35</v>
      </c>
      <c r="K3" s="9">
        <v>2</v>
      </c>
      <c r="L3" s="9">
        <f t="shared" ref="L3:L10" si="0">ROUNDUP(I3/K3,0)</f>
        <v>59</v>
      </c>
      <c r="M3" s="9">
        <v>20</v>
      </c>
      <c r="N3" s="9">
        <f t="shared" ref="N3:N11" si="1">ROUNDDOWN(L3/M3,0)</f>
        <v>2</v>
      </c>
      <c r="O3" s="18">
        <f t="shared" ref="O3:O11" si="2">L3-M3*N3</f>
        <v>19</v>
      </c>
      <c r="P3" s="9" t="s">
        <v>28</v>
      </c>
      <c r="Q3" s="9" t="s">
        <v>29</v>
      </c>
      <c r="R3" s="9" t="s">
        <v>30</v>
      </c>
      <c r="S3" s="19">
        <f t="shared" ref="S3:S10" si="3">I3*J3+L3*2+N3*55</f>
        <v>1095.3</v>
      </c>
      <c r="T3" s="21" t="s">
        <v>30</v>
      </c>
    </row>
    <row r="4" s="6" customFormat="1" ht="15.75" spans="1:22">
      <c r="A4" s="9"/>
      <c r="B4" s="9">
        <v>2</v>
      </c>
      <c r="C4" s="9" t="s">
        <v>31</v>
      </c>
      <c r="D4" s="9" t="s">
        <v>32</v>
      </c>
      <c r="E4" s="14" t="s">
        <v>24</v>
      </c>
      <c r="F4" s="14" t="s">
        <v>33</v>
      </c>
      <c r="G4" s="14" t="s">
        <v>34</v>
      </c>
      <c r="H4" s="15" t="s">
        <v>35</v>
      </c>
      <c r="I4" s="16">
        <v>118</v>
      </c>
      <c r="J4" s="17">
        <v>5.83</v>
      </c>
      <c r="K4" s="9">
        <v>3</v>
      </c>
      <c r="L4" s="9">
        <f t="shared" si="0"/>
        <v>40</v>
      </c>
      <c r="M4" s="9">
        <v>20</v>
      </c>
      <c r="N4" s="9">
        <f t="shared" si="1"/>
        <v>2</v>
      </c>
      <c r="O4" s="9">
        <f t="shared" si="2"/>
        <v>0</v>
      </c>
      <c r="P4" s="9">
        <f t="shared" ref="P4:P10" si="4">I4-(L4-1)*K4</f>
        <v>1</v>
      </c>
      <c r="Q4" s="9" t="s">
        <v>29</v>
      </c>
      <c r="R4" s="9" t="s">
        <v>30</v>
      </c>
      <c r="S4" s="19">
        <f t="shared" si="3"/>
        <v>877.94</v>
      </c>
      <c r="T4" s="5"/>
    </row>
    <row r="5" s="6" customFormat="1" ht="15.75" spans="1:22">
      <c r="A5" s="9"/>
      <c r="B5" s="9">
        <v>3</v>
      </c>
      <c r="C5" s="9" t="s">
        <v>36</v>
      </c>
      <c r="D5" s="9" t="s">
        <v>37</v>
      </c>
      <c r="E5" s="14" t="s">
        <v>24</v>
      </c>
      <c r="F5" s="14" t="s">
        <v>38</v>
      </c>
      <c r="G5" s="14" t="s">
        <v>39</v>
      </c>
      <c r="H5" s="15" t="s">
        <v>40</v>
      </c>
      <c r="I5" s="16">
        <v>118</v>
      </c>
      <c r="J5" s="17">
        <v>6.34</v>
      </c>
      <c r="K5" s="9">
        <v>2</v>
      </c>
      <c r="L5" s="9">
        <f t="shared" si="0"/>
        <v>59</v>
      </c>
      <c r="M5" s="9">
        <v>20</v>
      </c>
      <c r="N5" s="9">
        <f t="shared" si="1"/>
        <v>2</v>
      </c>
      <c r="O5" s="23">
        <f t="shared" si="2"/>
        <v>19</v>
      </c>
      <c r="P5" s="9" t="s">
        <v>28</v>
      </c>
      <c r="Q5" s="9" t="s">
        <v>29</v>
      </c>
      <c r="R5" s="9" t="s">
        <v>30</v>
      </c>
      <c r="S5" s="19">
        <f t="shared" si="3"/>
        <v>976.12</v>
      </c>
      <c r="T5" s="24" t="s">
        <v>30</v>
      </c>
    </row>
    <row r="6" s="6" customFormat="1" ht="15.75" spans="1:22">
      <c r="A6" s="9"/>
      <c r="B6" s="9">
        <v>4</v>
      </c>
      <c r="C6" s="9" t="s">
        <v>41</v>
      </c>
      <c r="D6" s="9" t="s">
        <v>42</v>
      </c>
      <c r="E6" s="14" t="s">
        <v>24</v>
      </c>
      <c r="F6" s="14" t="s">
        <v>43</v>
      </c>
      <c r="G6" s="14" t="s">
        <v>44</v>
      </c>
      <c r="H6" s="15" t="s">
        <v>45</v>
      </c>
      <c r="I6" s="16">
        <v>118</v>
      </c>
      <c r="J6" s="17">
        <v>6.83</v>
      </c>
      <c r="K6" s="9">
        <v>3</v>
      </c>
      <c r="L6" s="9">
        <f t="shared" si="0"/>
        <v>40</v>
      </c>
      <c r="M6" s="9">
        <v>20</v>
      </c>
      <c r="N6" s="9">
        <f t="shared" si="1"/>
        <v>2</v>
      </c>
      <c r="O6" s="9">
        <f t="shared" si="2"/>
        <v>0</v>
      </c>
      <c r="P6" s="9">
        <f t="shared" si="4"/>
        <v>1</v>
      </c>
      <c r="Q6" s="9" t="s">
        <v>29</v>
      </c>
      <c r="R6" s="9" t="s">
        <v>30</v>
      </c>
      <c r="S6" s="19">
        <f t="shared" si="3"/>
        <v>995.94</v>
      </c>
      <c r="T6" s="5"/>
    </row>
    <row r="7" s="6" customFormat="1" ht="15.75" spans="1:22">
      <c r="A7" s="9"/>
      <c r="B7" s="9">
        <v>5</v>
      </c>
      <c r="C7" s="9" t="s">
        <v>46</v>
      </c>
      <c r="D7" s="9" t="s">
        <v>47</v>
      </c>
      <c r="E7" s="14" t="s">
        <v>24</v>
      </c>
      <c r="F7" s="14" t="s">
        <v>48</v>
      </c>
      <c r="G7" s="14" t="s">
        <v>49</v>
      </c>
      <c r="H7" s="15" t="s">
        <v>50</v>
      </c>
      <c r="I7" s="16">
        <v>3</v>
      </c>
      <c r="J7" s="17">
        <v>3.95</v>
      </c>
      <c r="K7" s="9">
        <v>4</v>
      </c>
      <c r="L7" s="9">
        <f t="shared" si="0"/>
        <v>1</v>
      </c>
      <c r="M7" s="9">
        <v>20</v>
      </c>
      <c r="N7" s="9">
        <f t="shared" si="1"/>
        <v>0</v>
      </c>
      <c r="O7" s="18">
        <f t="shared" si="2"/>
        <v>1</v>
      </c>
      <c r="P7" s="9">
        <f t="shared" si="4"/>
        <v>3</v>
      </c>
      <c r="Q7" s="9" t="s">
        <v>29</v>
      </c>
      <c r="R7" s="9" t="s">
        <v>30</v>
      </c>
      <c r="S7" s="19">
        <f t="shared" si="3"/>
        <v>13.85</v>
      </c>
      <c r="T7" s="21"/>
    </row>
    <row r="8" s="6" customFormat="1" ht="15.75" spans="1:22">
      <c r="A8" s="9"/>
      <c r="B8" s="9">
        <v>6</v>
      </c>
      <c r="C8" s="9" t="s">
        <v>51</v>
      </c>
      <c r="D8" s="9" t="s">
        <v>52</v>
      </c>
      <c r="E8" s="14" t="s">
        <v>24</v>
      </c>
      <c r="F8" s="14" t="s">
        <v>53</v>
      </c>
      <c r="G8" s="14" t="s">
        <v>54</v>
      </c>
      <c r="H8" s="15" t="s">
        <v>55</v>
      </c>
      <c r="I8" s="16">
        <v>3</v>
      </c>
      <c r="J8" s="17">
        <v>2.66</v>
      </c>
      <c r="K8" s="9">
        <v>6</v>
      </c>
      <c r="L8" s="9">
        <f t="shared" si="0"/>
        <v>1</v>
      </c>
      <c r="M8" s="9">
        <v>20</v>
      </c>
      <c r="N8" s="9">
        <f t="shared" si="1"/>
        <v>0</v>
      </c>
      <c r="O8" s="23">
        <f t="shared" si="2"/>
        <v>1</v>
      </c>
      <c r="P8" s="9">
        <f t="shared" si="4"/>
        <v>3</v>
      </c>
      <c r="Q8" s="9" t="s">
        <v>29</v>
      </c>
      <c r="R8" s="9" t="s">
        <v>30</v>
      </c>
      <c r="S8" s="19">
        <f t="shared" si="3"/>
        <v>9.98</v>
      </c>
      <c r="T8" s="24"/>
    </row>
    <row r="9" s="6" customFormat="1" ht="15.75" spans="1:22">
      <c r="A9" s="9"/>
      <c r="B9" s="9">
        <v>7</v>
      </c>
      <c r="C9" s="9" t="s">
        <v>56</v>
      </c>
      <c r="D9" s="9" t="s">
        <v>57</v>
      </c>
      <c r="E9" s="14" t="s">
        <v>24</v>
      </c>
      <c r="F9" s="14" t="s">
        <v>58</v>
      </c>
      <c r="G9" s="14" t="s">
        <v>59</v>
      </c>
      <c r="H9" s="15" t="s">
        <v>60</v>
      </c>
      <c r="I9" s="16">
        <v>9</v>
      </c>
      <c r="J9" s="17">
        <v>2.95</v>
      </c>
      <c r="K9" s="9">
        <v>4</v>
      </c>
      <c r="L9" s="9">
        <f t="shared" si="0"/>
        <v>3</v>
      </c>
      <c r="M9" s="9">
        <v>20</v>
      </c>
      <c r="N9" s="9">
        <f t="shared" si="1"/>
        <v>0</v>
      </c>
      <c r="O9" s="35">
        <f t="shared" si="2"/>
        <v>3</v>
      </c>
      <c r="P9" s="9">
        <f t="shared" si="4"/>
        <v>1</v>
      </c>
      <c r="Q9" s="9" t="s">
        <v>29</v>
      </c>
      <c r="R9" s="9" t="s">
        <v>30</v>
      </c>
      <c r="S9" s="19">
        <f t="shared" si="3"/>
        <v>32.55</v>
      </c>
      <c r="T9" s="30" t="s">
        <v>30</v>
      </c>
    </row>
    <row r="10" s="6" customFormat="1" ht="15.75" spans="1:22">
      <c r="A10" s="9"/>
      <c r="B10" s="9">
        <v>8</v>
      </c>
      <c r="C10" s="9" t="s">
        <v>61</v>
      </c>
      <c r="D10" s="9" t="s">
        <v>62</v>
      </c>
      <c r="E10" s="14" t="s">
        <v>24</v>
      </c>
      <c r="F10" s="14" t="s">
        <v>63</v>
      </c>
      <c r="G10" s="14" t="s">
        <v>64</v>
      </c>
      <c r="H10" s="15" t="s">
        <v>65</v>
      </c>
      <c r="I10" s="16">
        <v>9</v>
      </c>
      <c r="J10" s="17">
        <v>3.67</v>
      </c>
      <c r="K10" s="9">
        <v>6</v>
      </c>
      <c r="L10" s="9">
        <f t="shared" si="0"/>
        <v>2</v>
      </c>
      <c r="M10" s="9">
        <v>20</v>
      </c>
      <c r="N10" s="9">
        <f t="shared" si="1"/>
        <v>0</v>
      </c>
      <c r="O10" s="35">
        <f t="shared" si="2"/>
        <v>2</v>
      </c>
      <c r="P10" s="9">
        <f t="shared" si="4"/>
        <v>3</v>
      </c>
      <c r="Q10" s="9" t="s">
        <v>29</v>
      </c>
      <c r="R10" s="9" t="s">
        <v>30</v>
      </c>
      <c r="S10" s="19">
        <f t="shared" si="3"/>
        <v>37.03</v>
      </c>
      <c r="T10" s="30"/>
    </row>
    <row r="11" s="6" customFormat="1" ht="15.75" spans="1:22">
      <c r="A11" s="9"/>
      <c r="B11" s="9">
        <v>9</v>
      </c>
      <c r="C11" s="9" t="s">
        <v>66</v>
      </c>
      <c r="D11" s="66" t="s">
        <v>67</v>
      </c>
      <c r="E11" s="14" t="s">
        <v>68</v>
      </c>
      <c r="F11" s="14" t="s">
        <v>69</v>
      </c>
      <c r="G11" s="14" t="s">
        <v>70</v>
      </c>
      <c r="H11" s="15" t="s">
        <v>71</v>
      </c>
      <c r="I11" s="16">
        <v>90</v>
      </c>
      <c r="J11" s="17">
        <v>1.98</v>
      </c>
      <c r="K11" s="9" t="s">
        <v>28</v>
      </c>
      <c r="L11" s="13">
        <v>23</v>
      </c>
      <c r="M11" s="9">
        <v>20</v>
      </c>
      <c r="N11" s="13">
        <f t="shared" si="1"/>
        <v>1</v>
      </c>
      <c r="O11" s="28">
        <f t="shared" si="2"/>
        <v>3</v>
      </c>
      <c r="P11" s="9" t="s">
        <v>28</v>
      </c>
      <c r="Q11" s="9" t="s">
        <v>29</v>
      </c>
      <c r="R11" s="9" t="s">
        <v>30</v>
      </c>
      <c r="S11" s="29">
        <f>I11*J11+I12*J12+L11*2+N11*55</f>
        <v>627.73</v>
      </c>
      <c r="T11" s="30"/>
    </row>
    <row r="12" s="6" customFormat="1" ht="15.75" spans="1:22">
      <c r="A12" s="9"/>
      <c r="B12" s="9">
        <v>10</v>
      </c>
      <c r="C12" s="9" t="s">
        <v>72</v>
      </c>
      <c r="D12" s="66" t="s">
        <v>73</v>
      </c>
      <c r="E12" s="14" t="s">
        <v>68</v>
      </c>
      <c r="F12" s="14"/>
      <c r="G12" s="14"/>
      <c r="H12" s="15"/>
      <c r="I12" s="16">
        <v>91</v>
      </c>
      <c r="J12" s="17">
        <v>3.83</v>
      </c>
      <c r="K12" s="9" t="s">
        <v>28</v>
      </c>
      <c r="L12" s="22"/>
      <c r="M12" s="9">
        <v>20</v>
      </c>
      <c r="N12" s="22"/>
      <c r="O12" s="33"/>
      <c r="P12" s="9" t="s">
        <v>28</v>
      </c>
      <c r="Q12" s="9" t="s">
        <v>29</v>
      </c>
      <c r="R12" s="9" t="s">
        <v>30</v>
      </c>
      <c r="S12" s="34"/>
      <c r="T12" s="30"/>
    </row>
    <row r="13" s="6" customFormat="1" ht="15.75" spans="1:22">
      <c r="A13" s="9"/>
      <c r="B13" s="9">
        <v>11</v>
      </c>
      <c r="C13" s="9" t="s">
        <v>74</v>
      </c>
      <c r="D13" s="9" t="s">
        <v>75</v>
      </c>
      <c r="E13" s="14" t="s">
        <v>68</v>
      </c>
      <c r="F13" s="14"/>
      <c r="G13" s="14"/>
      <c r="H13" s="15"/>
      <c r="I13" s="16">
        <v>63</v>
      </c>
      <c r="J13" s="17">
        <v>5.69</v>
      </c>
      <c r="K13" s="9" t="s">
        <v>28</v>
      </c>
      <c r="L13" s="9">
        <v>21</v>
      </c>
      <c r="M13" s="9">
        <v>20</v>
      </c>
      <c r="N13" s="9">
        <f t="shared" ref="N13:N15" si="5">ROUNDDOWN(L13/M13,0)</f>
        <v>1</v>
      </c>
      <c r="O13" s="35">
        <f t="shared" ref="O13:O15" si="6">L13-M13*N13</f>
        <v>1</v>
      </c>
      <c r="P13" s="9" t="s">
        <v>28</v>
      </c>
      <c r="Q13" s="9" t="s">
        <v>29</v>
      </c>
      <c r="R13" s="9" t="s">
        <v>30</v>
      </c>
      <c r="S13" s="19">
        <f t="shared" ref="S13:S15" si="7">I13*J13+L13*2+N13*55</f>
        <v>455.47</v>
      </c>
      <c r="T13" s="30"/>
    </row>
    <row r="14" s="6" customFormat="1" ht="15.75" spans="1:22">
      <c r="A14" s="9"/>
      <c r="B14" s="9">
        <v>12</v>
      </c>
      <c r="C14" s="9" t="s">
        <v>76</v>
      </c>
      <c r="D14" s="9" t="s">
        <v>77</v>
      </c>
      <c r="E14" s="14" t="s">
        <v>68</v>
      </c>
      <c r="F14" s="14"/>
      <c r="G14" s="14"/>
      <c r="H14" s="15"/>
      <c r="I14" s="16">
        <v>3</v>
      </c>
      <c r="J14" s="17">
        <v>7.53</v>
      </c>
      <c r="K14" s="9" t="s">
        <v>28</v>
      </c>
      <c r="L14" s="9">
        <v>1</v>
      </c>
      <c r="M14" s="9">
        <v>20</v>
      </c>
      <c r="N14" s="9">
        <f t="shared" si="5"/>
        <v>0</v>
      </c>
      <c r="O14" s="35">
        <f t="shared" si="6"/>
        <v>1</v>
      </c>
      <c r="P14" s="9" t="s">
        <v>28</v>
      </c>
      <c r="Q14" s="9" t="s">
        <v>29</v>
      </c>
      <c r="R14" s="9" t="s">
        <v>30</v>
      </c>
      <c r="S14" s="19">
        <f t="shared" si="7"/>
        <v>24.59</v>
      </c>
      <c r="T14" s="30"/>
    </row>
    <row r="15" s="6" customFormat="1" ht="15.75" spans="1:22">
      <c r="A15" s="9"/>
      <c r="B15" s="9">
        <v>13</v>
      </c>
      <c r="C15" s="9" t="s">
        <v>78</v>
      </c>
      <c r="D15" s="9" t="s">
        <v>79</v>
      </c>
      <c r="E15" s="14" t="s">
        <v>68</v>
      </c>
      <c r="F15" s="14"/>
      <c r="G15" s="14"/>
      <c r="H15" s="15"/>
      <c r="I15" s="16">
        <v>1</v>
      </c>
      <c r="J15" s="17">
        <v>9.37</v>
      </c>
      <c r="K15" s="9" t="s">
        <v>28</v>
      </c>
      <c r="L15" s="9">
        <v>1</v>
      </c>
      <c r="M15" s="9">
        <v>20</v>
      </c>
      <c r="N15" s="9">
        <f t="shared" si="5"/>
        <v>0</v>
      </c>
      <c r="O15" s="35">
        <f t="shared" si="6"/>
        <v>1</v>
      </c>
      <c r="P15" s="9" t="s">
        <v>28</v>
      </c>
      <c r="Q15" s="9" t="s">
        <v>29</v>
      </c>
      <c r="R15" s="9" t="s">
        <v>30</v>
      </c>
      <c r="S15" s="19">
        <f t="shared" si="7"/>
        <v>11.37</v>
      </c>
      <c r="T15" s="30"/>
    </row>
    <row r="16" s="7" customFormat="1" ht="15.75" spans="1:22">
      <c r="B16" s="8"/>
      <c r="C16" s="8"/>
      <c r="D16" s="8"/>
      <c r="H16" s="8"/>
      <c r="I16" s="8"/>
      <c r="J16" s="8"/>
      <c r="K16" s="8"/>
      <c r="L16" s="5">
        <f t="shared" ref="L16:O16" si="8">SUM(L3:L15)</f>
        <v>251</v>
      </c>
      <c r="M16" s="8"/>
      <c r="N16" s="8">
        <f t="shared" si="8"/>
        <v>10</v>
      </c>
      <c r="O16" s="8">
        <f t="shared" si="8"/>
        <v>51</v>
      </c>
      <c r="P16" s="8"/>
      <c r="Q16" s="8"/>
      <c r="R16" s="8"/>
      <c r="S16" s="67">
        <f>SUM(S3:S15)+55*T16</f>
        <v>5322.87</v>
      </c>
      <c r="T16" s="8">
        <v>3</v>
      </c>
      <c r="V16" s="68"/>
    </row>
    <row r="18" s="5" customFormat="1" ht="31.5" spans="1:20">
      <c r="A18" s="9" t="s">
        <v>1</v>
      </c>
      <c r="B18" s="9" t="s">
        <v>2</v>
      </c>
      <c r="C18" s="9" t="s">
        <v>3</v>
      </c>
      <c r="D18" s="9" t="s">
        <v>4</v>
      </c>
      <c r="E18" s="9" t="s">
        <v>5</v>
      </c>
      <c r="F18" s="9" t="s">
        <v>6</v>
      </c>
      <c r="G18" s="9" t="s">
        <v>7</v>
      </c>
      <c r="H18" s="9" t="s">
        <v>8</v>
      </c>
      <c r="I18" s="9" t="s">
        <v>9</v>
      </c>
      <c r="J18" s="10" t="s">
        <v>10</v>
      </c>
      <c r="K18" s="10" t="s">
        <v>11</v>
      </c>
      <c r="L18" s="10" t="s">
        <v>12</v>
      </c>
      <c r="M18" s="10" t="s">
        <v>13</v>
      </c>
      <c r="N18" s="10" t="s">
        <v>14</v>
      </c>
      <c r="O18" s="11" t="s">
        <v>15</v>
      </c>
      <c r="P18" s="10" t="s">
        <v>16</v>
      </c>
      <c r="Q18" s="10" t="s">
        <v>17</v>
      </c>
      <c r="R18" s="10" t="s">
        <v>18</v>
      </c>
      <c r="S18" s="12" t="s">
        <v>19</v>
      </c>
      <c r="T18" s="11" t="s">
        <v>20</v>
      </c>
    </row>
    <row r="19" s="6" customFormat="1" ht="15.75" spans="1:20">
      <c r="A19" s="9" t="s">
        <v>80</v>
      </c>
      <c r="B19" s="9">
        <v>1</v>
      </c>
      <c r="C19" s="9" t="s">
        <v>22</v>
      </c>
      <c r="D19" s="9" t="s">
        <v>23</v>
      </c>
      <c r="E19" s="14" t="s">
        <v>24</v>
      </c>
      <c r="F19" s="14" t="s">
        <v>25</v>
      </c>
      <c r="G19" s="14" t="s">
        <v>26</v>
      </c>
      <c r="H19" s="15" t="s">
        <v>27</v>
      </c>
      <c r="I19" s="16">
        <v>121</v>
      </c>
      <c r="J19" s="17">
        <v>7.35</v>
      </c>
      <c r="K19" s="9">
        <v>2</v>
      </c>
      <c r="L19" s="9">
        <f t="shared" ref="L19:L24" si="9">ROUNDUP(I19/K19,0)</f>
        <v>61</v>
      </c>
      <c r="M19" s="9">
        <v>20</v>
      </c>
      <c r="N19" s="9">
        <f t="shared" ref="N19:N25" si="10">ROUNDDOWN(L19/M19,0)</f>
        <v>3</v>
      </c>
      <c r="O19" s="36">
        <f t="shared" ref="O19:O25" si="11">L19-M19*N19</f>
        <v>1</v>
      </c>
      <c r="P19" s="9">
        <f t="shared" ref="P19:P21" si="12">I19-(L19-1)*K19</f>
        <v>1</v>
      </c>
      <c r="Q19" s="9" t="s">
        <v>29</v>
      </c>
      <c r="R19" s="9" t="s">
        <v>30</v>
      </c>
      <c r="S19" s="19">
        <f t="shared" ref="S19:S24" si="13">I19*J19+L19*2+N19*55</f>
        <v>1176.35</v>
      </c>
      <c r="T19" s="37"/>
    </row>
    <row r="20" s="6" customFormat="1" ht="15.75" spans="1:20">
      <c r="A20" s="9"/>
      <c r="B20" s="9">
        <v>2</v>
      </c>
      <c r="C20" s="9" t="s">
        <v>31</v>
      </c>
      <c r="D20" s="9" t="s">
        <v>32</v>
      </c>
      <c r="E20" s="14" t="s">
        <v>24</v>
      </c>
      <c r="F20" s="14" t="s">
        <v>33</v>
      </c>
      <c r="G20" s="14" t="s">
        <v>34</v>
      </c>
      <c r="H20" s="15" t="s">
        <v>35</v>
      </c>
      <c r="I20" s="16">
        <v>121</v>
      </c>
      <c r="J20" s="17">
        <v>5.83</v>
      </c>
      <c r="K20" s="9">
        <v>3</v>
      </c>
      <c r="L20" s="9">
        <f t="shared" si="9"/>
        <v>41</v>
      </c>
      <c r="M20" s="9">
        <v>20</v>
      </c>
      <c r="N20" s="9">
        <f t="shared" si="10"/>
        <v>2</v>
      </c>
      <c r="O20" s="38">
        <f t="shared" si="11"/>
        <v>1</v>
      </c>
      <c r="P20" s="9">
        <f t="shared" si="12"/>
        <v>1</v>
      </c>
      <c r="Q20" s="9" t="s">
        <v>29</v>
      </c>
      <c r="R20" s="9" t="s">
        <v>30</v>
      </c>
      <c r="S20" s="19">
        <f t="shared" si="13"/>
        <v>897.43</v>
      </c>
      <c r="T20" s="39"/>
    </row>
    <row r="21" s="6" customFormat="1" ht="15.75" spans="1:20">
      <c r="A21" s="9"/>
      <c r="B21" s="9">
        <v>3</v>
      </c>
      <c r="C21" s="9" t="s">
        <v>36</v>
      </c>
      <c r="D21" s="9" t="s">
        <v>37</v>
      </c>
      <c r="E21" s="14" t="s">
        <v>24</v>
      </c>
      <c r="F21" s="14" t="s">
        <v>38</v>
      </c>
      <c r="G21" s="14" t="s">
        <v>39</v>
      </c>
      <c r="H21" s="15" t="s">
        <v>40</v>
      </c>
      <c r="I21" s="16">
        <v>117</v>
      </c>
      <c r="J21" s="17">
        <v>6.34</v>
      </c>
      <c r="K21" s="9">
        <v>2</v>
      </c>
      <c r="L21" s="9">
        <f t="shared" si="9"/>
        <v>59</v>
      </c>
      <c r="M21" s="9">
        <v>20</v>
      </c>
      <c r="N21" s="9">
        <f t="shared" si="10"/>
        <v>2</v>
      </c>
      <c r="O21" s="36">
        <f t="shared" si="11"/>
        <v>19</v>
      </c>
      <c r="P21" s="9">
        <f t="shared" si="12"/>
        <v>1</v>
      </c>
      <c r="Q21" s="9" t="s">
        <v>29</v>
      </c>
      <c r="R21" s="9" t="s">
        <v>30</v>
      </c>
      <c r="S21" s="19">
        <f t="shared" si="13"/>
        <v>969.78</v>
      </c>
      <c r="T21" s="37" t="s">
        <v>30</v>
      </c>
    </row>
    <row r="22" s="6" customFormat="1" ht="15.75" spans="1:20">
      <c r="A22" s="9"/>
      <c r="B22" s="9">
        <v>4</v>
      </c>
      <c r="C22" s="9" t="s">
        <v>41</v>
      </c>
      <c r="D22" s="9" t="s">
        <v>42</v>
      </c>
      <c r="E22" s="14" t="s">
        <v>24</v>
      </c>
      <c r="F22" s="14" t="s">
        <v>43</v>
      </c>
      <c r="G22" s="14" t="s">
        <v>44</v>
      </c>
      <c r="H22" s="15" t="s">
        <v>45</v>
      </c>
      <c r="I22" s="16">
        <v>117</v>
      </c>
      <c r="J22" s="17">
        <v>6.83</v>
      </c>
      <c r="K22" s="9">
        <v>3</v>
      </c>
      <c r="L22" s="9">
        <f t="shared" si="9"/>
        <v>39</v>
      </c>
      <c r="M22" s="9">
        <v>20</v>
      </c>
      <c r="N22" s="9">
        <f t="shared" si="10"/>
        <v>1</v>
      </c>
      <c r="O22" s="38">
        <f t="shared" si="11"/>
        <v>19</v>
      </c>
      <c r="P22" s="9" t="s">
        <v>28</v>
      </c>
      <c r="Q22" s="9" t="s">
        <v>29</v>
      </c>
      <c r="R22" s="9" t="s">
        <v>30</v>
      </c>
      <c r="S22" s="19">
        <f t="shared" si="13"/>
        <v>932.11</v>
      </c>
      <c r="T22" s="39" t="s">
        <v>30</v>
      </c>
    </row>
    <row r="23" s="6" customFormat="1" ht="15.75" spans="1:20">
      <c r="A23" s="9"/>
      <c r="B23" s="9">
        <v>5</v>
      </c>
      <c r="C23" s="9" t="s">
        <v>56</v>
      </c>
      <c r="D23" s="9" t="s">
        <v>57</v>
      </c>
      <c r="E23" s="14" t="s">
        <v>24</v>
      </c>
      <c r="F23" s="14" t="s">
        <v>58</v>
      </c>
      <c r="G23" s="14" t="s">
        <v>59</v>
      </c>
      <c r="H23" s="15" t="s">
        <v>60</v>
      </c>
      <c r="I23" s="16">
        <v>4</v>
      </c>
      <c r="J23" s="17">
        <v>2.95</v>
      </c>
      <c r="K23" s="9">
        <v>4</v>
      </c>
      <c r="L23" s="9">
        <f t="shared" si="9"/>
        <v>1</v>
      </c>
      <c r="M23" s="9">
        <v>20</v>
      </c>
      <c r="N23" s="9">
        <f t="shared" si="10"/>
        <v>0</v>
      </c>
      <c r="O23" s="44">
        <f t="shared" si="11"/>
        <v>1</v>
      </c>
      <c r="P23" s="9" t="s">
        <v>28</v>
      </c>
      <c r="Q23" s="9" t="s">
        <v>29</v>
      </c>
      <c r="R23" s="9" t="s">
        <v>30</v>
      </c>
      <c r="S23" s="19">
        <f t="shared" si="13"/>
        <v>13.8</v>
      </c>
      <c r="T23" s="41" t="s">
        <v>30</v>
      </c>
    </row>
    <row r="24" s="6" customFormat="1" ht="15.75" spans="1:20">
      <c r="A24" s="9"/>
      <c r="B24" s="9">
        <v>6</v>
      </c>
      <c r="C24" s="9" t="s">
        <v>61</v>
      </c>
      <c r="D24" s="9" t="s">
        <v>62</v>
      </c>
      <c r="E24" s="14" t="s">
        <v>24</v>
      </c>
      <c r="F24" s="14" t="s">
        <v>63</v>
      </c>
      <c r="G24" s="14" t="s">
        <v>64</v>
      </c>
      <c r="H24" s="15" t="s">
        <v>65</v>
      </c>
      <c r="I24" s="16">
        <v>4</v>
      </c>
      <c r="J24" s="17">
        <v>3.67</v>
      </c>
      <c r="K24" s="9">
        <v>6</v>
      </c>
      <c r="L24" s="9">
        <f t="shared" si="9"/>
        <v>1</v>
      </c>
      <c r="M24" s="9">
        <v>20</v>
      </c>
      <c r="N24" s="9">
        <f t="shared" si="10"/>
        <v>0</v>
      </c>
      <c r="O24" s="44">
        <f t="shared" si="11"/>
        <v>1</v>
      </c>
      <c r="P24" s="9">
        <f>I24-(L24-1)*K24</f>
        <v>4</v>
      </c>
      <c r="Q24" s="9" t="s">
        <v>29</v>
      </c>
      <c r="R24" s="9" t="s">
        <v>30</v>
      </c>
      <c r="S24" s="19">
        <f t="shared" si="13"/>
        <v>16.68</v>
      </c>
      <c r="T24" s="41"/>
    </row>
    <row r="25" s="6" customFormat="1" ht="15.75" spans="1:20">
      <c r="A25" s="9"/>
      <c r="B25" s="9">
        <v>7</v>
      </c>
      <c r="C25" s="9" t="s">
        <v>66</v>
      </c>
      <c r="D25" s="9" t="s">
        <v>67</v>
      </c>
      <c r="E25" s="14" t="s">
        <v>68</v>
      </c>
      <c r="F25" s="14" t="s">
        <v>69</v>
      </c>
      <c r="G25" s="14" t="s">
        <v>70</v>
      </c>
      <c r="H25" s="15" t="s">
        <v>71</v>
      </c>
      <c r="I25" s="16">
        <v>92</v>
      </c>
      <c r="J25" s="17">
        <v>1.98</v>
      </c>
      <c r="K25" s="9" t="s">
        <v>28</v>
      </c>
      <c r="L25" s="13">
        <v>23</v>
      </c>
      <c r="M25" s="9">
        <v>20</v>
      </c>
      <c r="N25" s="13">
        <f t="shared" si="10"/>
        <v>1</v>
      </c>
      <c r="O25" s="40">
        <f t="shared" si="11"/>
        <v>3</v>
      </c>
      <c r="P25" s="9" t="s">
        <v>28</v>
      </c>
      <c r="Q25" s="9" t="s">
        <v>29</v>
      </c>
      <c r="R25" s="9" t="s">
        <v>30</v>
      </c>
      <c r="S25" s="29">
        <f>I25*J25+L25*2+N25*55+I26*J26</f>
        <v>635.52</v>
      </c>
      <c r="T25" s="41"/>
    </row>
    <row r="26" s="6" customFormat="1" ht="15.75" spans="1:20">
      <c r="A26" s="9"/>
      <c r="B26" s="9">
        <v>8</v>
      </c>
      <c r="C26" s="9" t="s">
        <v>72</v>
      </c>
      <c r="D26" s="9" t="s">
        <v>73</v>
      </c>
      <c r="E26" s="14" t="s">
        <v>68</v>
      </c>
      <c r="F26" s="14"/>
      <c r="G26" s="14"/>
      <c r="H26" s="15"/>
      <c r="I26" s="16">
        <v>92</v>
      </c>
      <c r="J26" s="17">
        <v>3.83</v>
      </c>
      <c r="K26" s="9" t="s">
        <v>28</v>
      </c>
      <c r="L26" s="22"/>
      <c r="M26" s="9">
        <v>20</v>
      </c>
      <c r="N26" s="22"/>
      <c r="O26" s="42"/>
      <c r="P26" s="9" t="s">
        <v>28</v>
      </c>
      <c r="Q26" s="9" t="s">
        <v>29</v>
      </c>
      <c r="R26" s="9" t="s">
        <v>30</v>
      </c>
      <c r="S26" s="34"/>
      <c r="T26" s="41"/>
    </row>
    <row r="27" s="6" customFormat="1" ht="15.75" spans="1:20">
      <c r="A27" s="9"/>
      <c r="B27" s="9">
        <v>9</v>
      </c>
      <c r="C27" s="9" t="s">
        <v>74</v>
      </c>
      <c r="D27" s="9" t="s">
        <v>75</v>
      </c>
      <c r="E27" s="14" t="s">
        <v>68</v>
      </c>
      <c r="F27" s="14"/>
      <c r="G27" s="14"/>
      <c r="H27" s="15"/>
      <c r="I27" s="16">
        <v>58</v>
      </c>
      <c r="J27" s="17">
        <v>5.69</v>
      </c>
      <c r="K27" s="9" t="s">
        <v>28</v>
      </c>
      <c r="L27" s="9">
        <v>23</v>
      </c>
      <c r="M27" s="9">
        <v>20</v>
      </c>
      <c r="N27" s="9">
        <f t="shared" ref="N27:N37" si="14">ROUNDDOWN(L27/M27,0)</f>
        <v>1</v>
      </c>
      <c r="O27" s="44">
        <f t="shared" ref="O27:O37" si="15">L27-M27*N27</f>
        <v>3</v>
      </c>
      <c r="P27" s="9" t="s">
        <v>28</v>
      </c>
      <c r="Q27" s="9" t="s">
        <v>29</v>
      </c>
      <c r="R27" s="9" t="s">
        <v>30</v>
      </c>
      <c r="S27" s="19">
        <f t="shared" ref="S27:S36" si="16">I27*J27+L27*2+N27*55</f>
        <v>431.02</v>
      </c>
      <c r="T27" s="41"/>
    </row>
    <row r="28" s="7" customFormat="1" ht="15.75" spans="1:20">
      <c r="B28" s="8"/>
      <c r="C28" s="8"/>
      <c r="D28" s="8"/>
      <c r="H28" s="8"/>
      <c r="I28" s="8"/>
      <c r="J28" s="8"/>
      <c r="K28" s="8"/>
      <c r="L28" s="5">
        <f>SUM(L19:L27)</f>
        <v>248</v>
      </c>
      <c r="M28" s="8"/>
      <c r="N28" s="8">
        <f>SUM(N18:N27)</f>
        <v>10</v>
      </c>
      <c r="O28" s="8">
        <f>SUM(O19:O27)</f>
        <v>48</v>
      </c>
      <c r="P28" s="8"/>
      <c r="Q28" s="8"/>
      <c r="R28" s="8"/>
      <c r="S28" s="67">
        <f>SUM(S19:S27)+55*T28</f>
        <v>5237.69</v>
      </c>
      <c r="T28" s="8">
        <v>3</v>
      </c>
    </row>
    <row r="30" s="5" customFormat="1" ht="31.5" spans="1:20">
      <c r="A30" s="9" t="s">
        <v>1</v>
      </c>
      <c r="B30" s="9" t="s">
        <v>2</v>
      </c>
      <c r="C30" s="9" t="s">
        <v>3</v>
      </c>
      <c r="D30" s="9" t="s">
        <v>4</v>
      </c>
      <c r="E30" s="9" t="s">
        <v>5</v>
      </c>
      <c r="F30" s="9" t="s">
        <v>6</v>
      </c>
      <c r="G30" s="9" t="s">
        <v>7</v>
      </c>
      <c r="H30" s="9" t="s">
        <v>8</v>
      </c>
      <c r="I30" s="9" t="s">
        <v>9</v>
      </c>
      <c r="J30" s="10" t="s">
        <v>10</v>
      </c>
      <c r="K30" s="10" t="s">
        <v>11</v>
      </c>
      <c r="L30" s="10" t="s">
        <v>12</v>
      </c>
      <c r="M30" s="10" t="s">
        <v>13</v>
      </c>
      <c r="N30" s="10" t="s">
        <v>14</v>
      </c>
      <c r="O30" s="11" t="s">
        <v>15</v>
      </c>
      <c r="P30" s="10" t="s">
        <v>16</v>
      </c>
      <c r="Q30" s="10" t="s">
        <v>17</v>
      </c>
      <c r="R30" s="10" t="s">
        <v>18</v>
      </c>
      <c r="S30" s="12" t="s">
        <v>19</v>
      </c>
      <c r="T30" s="11" t="s">
        <v>20</v>
      </c>
    </row>
    <row r="31" s="6" customFormat="1" ht="15.75" spans="1:20">
      <c r="A31" s="9" t="s">
        <v>81</v>
      </c>
      <c r="B31" s="9">
        <v>1</v>
      </c>
      <c r="C31" s="9" t="s">
        <v>22</v>
      </c>
      <c r="D31" s="9" t="s">
        <v>23</v>
      </c>
      <c r="E31" s="14" t="s">
        <v>24</v>
      </c>
      <c r="F31" s="14" t="s">
        <v>25</v>
      </c>
      <c r="G31" s="14" t="s">
        <v>26</v>
      </c>
      <c r="H31" s="15" t="s">
        <v>27</v>
      </c>
      <c r="I31" s="16">
        <v>101</v>
      </c>
      <c r="J31" s="17">
        <v>7.35</v>
      </c>
      <c r="K31" s="9">
        <v>2</v>
      </c>
      <c r="L31" s="9">
        <f t="shared" ref="L31:L36" si="17">ROUNDUP(I31/K31,0)</f>
        <v>51</v>
      </c>
      <c r="M31" s="9">
        <v>20</v>
      </c>
      <c r="N31" s="9">
        <f t="shared" si="14"/>
        <v>2</v>
      </c>
      <c r="O31" s="45">
        <f t="shared" si="15"/>
        <v>11</v>
      </c>
      <c r="P31" s="9">
        <f t="shared" ref="P31:P34" si="18">I31-(L31-1)*K31</f>
        <v>1</v>
      </c>
      <c r="Q31" s="9" t="s">
        <v>29</v>
      </c>
      <c r="R31" s="9" t="s">
        <v>30</v>
      </c>
      <c r="S31" s="19">
        <f t="shared" si="16"/>
        <v>954.35</v>
      </c>
      <c r="T31" s="46" t="s">
        <v>30</v>
      </c>
    </row>
    <row r="32" s="6" customFormat="1" ht="15.75" spans="1:20">
      <c r="A32" s="9"/>
      <c r="B32" s="9">
        <v>2</v>
      </c>
      <c r="C32" s="9" t="s">
        <v>31</v>
      </c>
      <c r="D32" s="9" t="s">
        <v>32</v>
      </c>
      <c r="E32" s="14" t="s">
        <v>24</v>
      </c>
      <c r="F32" s="14" t="s">
        <v>33</v>
      </c>
      <c r="G32" s="14" t="s">
        <v>34</v>
      </c>
      <c r="H32" s="15" t="s">
        <v>35</v>
      </c>
      <c r="I32" s="16">
        <v>101</v>
      </c>
      <c r="J32" s="17">
        <v>5.83</v>
      </c>
      <c r="K32" s="9">
        <v>3</v>
      </c>
      <c r="L32" s="9">
        <f t="shared" si="17"/>
        <v>34</v>
      </c>
      <c r="M32" s="9">
        <v>20</v>
      </c>
      <c r="N32" s="9">
        <f t="shared" si="14"/>
        <v>1</v>
      </c>
      <c r="O32" s="9">
        <f t="shared" si="15"/>
        <v>14</v>
      </c>
      <c r="P32" s="9">
        <f t="shared" si="18"/>
        <v>2</v>
      </c>
      <c r="Q32" s="9" t="s">
        <v>29</v>
      </c>
      <c r="R32" s="9" t="s">
        <v>30</v>
      </c>
      <c r="S32" s="19">
        <f t="shared" si="16"/>
        <v>711.83</v>
      </c>
      <c r="T32" s="5" t="s">
        <v>30</v>
      </c>
    </row>
    <row r="33" s="6" customFormat="1" ht="15.75" spans="1:20">
      <c r="A33" s="9"/>
      <c r="B33" s="9">
        <v>3</v>
      </c>
      <c r="C33" s="9" t="s">
        <v>36</v>
      </c>
      <c r="D33" s="9" t="s">
        <v>37</v>
      </c>
      <c r="E33" s="14" t="s">
        <v>24</v>
      </c>
      <c r="F33" s="14" t="s">
        <v>38</v>
      </c>
      <c r="G33" s="14" t="s">
        <v>39</v>
      </c>
      <c r="H33" s="15" t="s">
        <v>40</v>
      </c>
      <c r="I33" s="16">
        <v>97</v>
      </c>
      <c r="J33" s="17">
        <v>6.34</v>
      </c>
      <c r="K33" s="9">
        <v>2</v>
      </c>
      <c r="L33" s="9">
        <f t="shared" si="17"/>
        <v>49</v>
      </c>
      <c r="M33" s="9">
        <v>20</v>
      </c>
      <c r="N33" s="9">
        <f t="shared" si="14"/>
        <v>2</v>
      </c>
      <c r="O33" s="45">
        <f t="shared" si="15"/>
        <v>9</v>
      </c>
      <c r="P33" s="9">
        <f t="shared" si="18"/>
        <v>1</v>
      </c>
      <c r="Q33" s="9" t="s">
        <v>29</v>
      </c>
      <c r="R33" s="9" t="s">
        <v>30</v>
      </c>
      <c r="S33" s="19">
        <f t="shared" si="16"/>
        <v>822.98</v>
      </c>
      <c r="T33" s="46"/>
    </row>
    <row r="34" s="6" customFormat="1" ht="15.75" spans="1:20">
      <c r="A34" s="9"/>
      <c r="B34" s="9">
        <v>4</v>
      </c>
      <c r="C34" s="9" t="s">
        <v>41</v>
      </c>
      <c r="D34" s="9" t="s">
        <v>42</v>
      </c>
      <c r="E34" s="14" t="s">
        <v>24</v>
      </c>
      <c r="F34" s="14" t="s">
        <v>43</v>
      </c>
      <c r="G34" s="14" t="s">
        <v>44</v>
      </c>
      <c r="H34" s="15" t="s">
        <v>45</v>
      </c>
      <c r="I34" s="16">
        <v>97</v>
      </c>
      <c r="J34" s="17">
        <v>6.83</v>
      </c>
      <c r="K34" s="9">
        <v>3</v>
      </c>
      <c r="L34" s="9">
        <f t="shared" si="17"/>
        <v>33</v>
      </c>
      <c r="M34" s="9">
        <v>20</v>
      </c>
      <c r="N34" s="9">
        <f t="shared" si="14"/>
        <v>1</v>
      </c>
      <c r="O34" s="9">
        <f t="shared" si="15"/>
        <v>13</v>
      </c>
      <c r="P34" s="9">
        <f t="shared" si="18"/>
        <v>1</v>
      </c>
      <c r="Q34" s="9" t="s">
        <v>29</v>
      </c>
      <c r="R34" s="9" t="s">
        <v>30</v>
      </c>
      <c r="S34" s="19">
        <f t="shared" si="16"/>
        <v>783.51</v>
      </c>
      <c r="T34" s="5" t="s">
        <v>30</v>
      </c>
    </row>
    <row r="35" s="6" customFormat="1" ht="15.75" spans="1:20">
      <c r="A35" s="9"/>
      <c r="B35" s="9">
        <v>5</v>
      </c>
      <c r="C35" s="9" t="s">
        <v>56</v>
      </c>
      <c r="D35" s="9" t="s">
        <v>57</v>
      </c>
      <c r="E35" s="14" t="s">
        <v>24</v>
      </c>
      <c r="F35" s="14" t="s">
        <v>58</v>
      </c>
      <c r="G35" s="14" t="s">
        <v>59</v>
      </c>
      <c r="H35" s="15" t="s">
        <v>60</v>
      </c>
      <c r="I35" s="16">
        <v>4</v>
      </c>
      <c r="J35" s="17">
        <v>2.95</v>
      </c>
      <c r="K35" s="9">
        <v>4</v>
      </c>
      <c r="L35" s="9">
        <f t="shared" si="17"/>
        <v>1</v>
      </c>
      <c r="M35" s="9">
        <v>20</v>
      </c>
      <c r="N35" s="9">
        <f t="shared" si="14"/>
        <v>0</v>
      </c>
      <c r="O35" s="47">
        <f t="shared" si="15"/>
        <v>1</v>
      </c>
      <c r="P35" s="9" t="s">
        <v>28</v>
      </c>
      <c r="Q35" s="9" t="s">
        <v>29</v>
      </c>
      <c r="R35" s="9" t="s">
        <v>30</v>
      </c>
      <c r="S35" s="19">
        <f t="shared" si="16"/>
        <v>13.8</v>
      </c>
      <c r="T35" s="48"/>
    </row>
    <row r="36" s="6" customFormat="1" ht="15.75" spans="1:20">
      <c r="A36" s="9"/>
      <c r="B36" s="9">
        <v>6</v>
      </c>
      <c r="C36" s="9" t="s">
        <v>61</v>
      </c>
      <c r="D36" s="9" t="s">
        <v>62</v>
      </c>
      <c r="E36" s="14" t="s">
        <v>24</v>
      </c>
      <c r="F36" s="14" t="s">
        <v>63</v>
      </c>
      <c r="G36" s="14" t="s">
        <v>64</v>
      </c>
      <c r="H36" s="15" t="s">
        <v>65</v>
      </c>
      <c r="I36" s="16">
        <v>4</v>
      </c>
      <c r="J36" s="17">
        <v>3.67</v>
      </c>
      <c r="K36" s="9">
        <v>6</v>
      </c>
      <c r="L36" s="9">
        <f t="shared" si="17"/>
        <v>1</v>
      </c>
      <c r="M36" s="9">
        <v>20</v>
      </c>
      <c r="N36" s="9">
        <f t="shared" si="14"/>
        <v>0</v>
      </c>
      <c r="O36" s="49">
        <f t="shared" si="15"/>
        <v>1</v>
      </c>
      <c r="P36" s="9">
        <f>I36-(L36-1)*K36</f>
        <v>4</v>
      </c>
      <c r="Q36" s="9" t="s">
        <v>29</v>
      </c>
      <c r="R36" s="9" t="s">
        <v>30</v>
      </c>
      <c r="S36" s="19">
        <f t="shared" si="16"/>
        <v>16.68</v>
      </c>
      <c r="T36" s="50" t="s">
        <v>30</v>
      </c>
    </row>
    <row r="37" s="6" customFormat="1" ht="15.75" spans="1:20">
      <c r="A37" s="9"/>
      <c r="B37" s="9">
        <v>7</v>
      </c>
      <c r="C37" s="9" t="s">
        <v>66</v>
      </c>
      <c r="D37" s="9" t="s">
        <v>67</v>
      </c>
      <c r="E37" s="14" t="s">
        <v>68</v>
      </c>
      <c r="F37" s="14" t="s">
        <v>69</v>
      </c>
      <c r="G37" s="14" t="s">
        <v>70</v>
      </c>
      <c r="H37" s="15" t="s">
        <v>71</v>
      </c>
      <c r="I37" s="16">
        <v>76</v>
      </c>
      <c r="J37" s="17">
        <v>1.98</v>
      </c>
      <c r="K37" s="9" t="s">
        <v>28</v>
      </c>
      <c r="L37" s="13">
        <v>19</v>
      </c>
      <c r="M37" s="9">
        <v>20</v>
      </c>
      <c r="N37" s="13">
        <f t="shared" si="14"/>
        <v>0</v>
      </c>
      <c r="O37" s="51">
        <f t="shared" si="15"/>
        <v>19</v>
      </c>
      <c r="P37" s="9" t="s">
        <v>28</v>
      </c>
      <c r="Q37" s="9" t="s">
        <v>29</v>
      </c>
      <c r="R37" s="9" t="s">
        <v>30</v>
      </c>
      <c r="S37" s="29">
        <f>I37*J37+L37*2+N37*55+I38*J38</f>
        <v>479.56</v>
      </c>
      <c r="T37" s="50"/>
    </row>
    <row r="38" s="6" customFormat="1" ht="15.75" spans="1:20">
      <c r="A38" s="9"/>
      <c r="B38" s="9">
        <v>8</v>
      </c>
      <c r="C38" s="9" t="s">
        <v>72</v>
      </c>
      <c r="D38" s="9" t="s">
        <v>73</v>
      </c>
      <c r="E38" s="14" t="s">
        <v>68</v>
      </c>
      <c r="F38" s="14"/>
      <c r="G38" s="14"/>
      <c r="H38" s="15"/>
      <c r="I38" s="16">
        <v>76</v>
      </c>
      <c r="J38" s="17">
        <v>3.83</v>
      </c>
      <c r="K38" s="9" t="s">
        <v>28</v>
      </c>
      <c r="L38" s="22"/>
      <c r="M38" s="9">
        <v>20</v>
      </c>
      <c r="N38" s="22"/>
      <c r="O38" s="52"/>
      <c r="P38" s="9" t="s">
        <v>28</v>
      </c>
      <c r="Q38" s="9" t="s">
        <v>29</v>
      </c>
      <c r="R38" s="9" t="s">
        <v>30</v>
      </c>
      <c r="S38" s="34"/>
      <c r="T38" s="50"/>
    </row>
    <row r="39" s="6" customFormat="1" ht="15.75" spans="1:20">
      <c r="A39" s="9"/>
      <c r="B39" s="9">
        <v>9</v>
      </c>
      <c r="C39" s="9" t="s">
        <v>74</v>
      </c>
      <c r="D39" s="9" t="s">
        <v>75</v>
      </c>
      <c r="E39" s="14" t="s">
        <v>68</v>
      </c>
      <c r="F39" s="14"/>
      <c r="G39" s="14"/>
      <c r="H39" s="15"/>
      <c r="I39" s="16">
        <v>50</v>
      </c>
      <c r="J39" s="17">
        <v>5.69</v>
      </c>
      <c r="K39" s="9" t="s">
        <v>28</v>
      </c>
      <c r="L39" s="9">
        <v>19</v>
      </c>
      <c r="M39" s="9">
        <v>20</v>
      </c>
      <c r="N39" s="9">
        <f t="shared" ref="N39:N51" si="19">ROUNDDOWN(L39/M39,0)</f>
        <v>0</v>
      </c>
      <c r="O39" s="47">
        <f t="shared" ref="O39:O51" si="20">L39-M39*N39</f>
        <v>19</v>
      </c>
      <c r="P39" s="9" t="s">
        <v>28</v>
      </c>
      <c r="Q39" s="9" t="s">
        <v>29</v>
      </c>
      <c r="R39" s="9" t="s">
        <v>30</v>
      </c>
      <c r="S39" s="19">
        <f t="shared" ref="S39:S50" si="21">I39*J39+L39*2+N39*55</f>
        <v>322.5</v>
      </c>
      <c r="T39" s="48" t="s">
        <v>30</v>
      </c>
    </row>
    <row r="40" s="7" customFormat="1" ht="15.75" spans="1:20">
      <c r="B40" s="8"/>
      <c r="C40" s="8"/>
      <c r="D40" s="8"/>
      <c r="H40" s="8"/>
      <c r="I40" s="8"/>
      <c r="J40" s="8"/>
      <c r="K40" s="8"/>
      <c r="L40" s="5">
        <f t="shared" ref="L40:O40" si="22">SUM(L31:L39)</f>
        <v>207</v>
      </c>
      <c r="M40" s="8"/>
      <c r="N40" s="8">
        <f t="shared" si="22"/>
        <v>6</v>
      </c>
      <c r="O40" s="8">
        <f t="shared" si="22"/>
        <v>87</v>
      </c>
      <c r="P40" s="8"/>
      <c r="Q40" s="8"/>
      <c r="R40" s="8"/>
      <c r="S40" s="67">
        <f>SUM(S31:S39)+55*T40</f>
        <v>4380.21</v>
      </c>
      <c r="T40" s="8">
        <v>5</v>
      </c>
    </row>
    <row r="42" s="5" customFormat="1" ht="31.5" spans="1:20">
      <c r="A42" s="13" t="s">
        <v>1</v>
      </c>
      <c r="B42" s="13" t="s">
        <v>2</v>
      </c>
      <c r="C42" s="13" t="s">
        <v>3</v>
      </c>
      <c r="D42" s="13" t="s">
        <v>4</v>
      </c>
      <c r="E42" s="13" t="s">
        <v>5</v>
      </c>
      <c r="F42" s="13" t="s">
        <v>6</v>
      </c>
      <c r="G42" s="13" t="s">
        <v>7</v>
      </c>
      <c r="H42" s="13" t="s">
        <v>8</v>
      </c>
      <c r="I42" s="13" t="s">
        <v>9</v>
      </c>
      <c r="J42" s="53" t="s">
        <v>10</v>
      </c>
      <c r="K42" s="53" t="s">
        <v>11</v>
      </c>
      <c r="L42" s="53" t="s">
        <v>12</v>
      </c>
      <c r="M42" s="53" t="s">
        <v>13</v>
      </c>
      <c r="N42" s="53" t="s">
        <v>14</v>
      </c>
      <c r="O42" s="54" t="s">
        <v>15</v>
      </c>
      <c r="P42" s="53" t="s">
        <v>16</v>
      </c>
      <c r="Q42" s="53" t="s">
        <v>17</v>
      </c>
      <c r="R42" s="53" t="s">
        <v>18</v>
      </c>
      <c r="S42" s="55" t="s">
        <v>19</v>
      </c>
      <c r="T42" s="11" t="s">
        <v>20</v>
      </c>
    </row>
    <row r="43" s="6" customFormat="1" ht="15.75" spans="1:20">
      <c r="A43" s="9" t="s">
        <v>82</v>
      </c>
      <c r="B43" s="9">
        <v>1</v>
      </c>
      <c r="C43" s="9" t="s">
        <v>22</v>
      </c>
      <c r="D43" s="9" t="s">
        <v>23</v>
      </c>
      <c r="E43" s="14" t="s">
        <v>24</v>
      </c>
      <c r="F43" s="14" t="s">
        <v>25</v>
      </c>
      <c r="G43" s="14" t="s">
        <v>26</v>
      </c>
      <c r="H43" s="15" t="s">
        <v>27</v>
      </c>
      <c r="I43" s="16">
        <v>101</v>
      </c>
      <c r="J43" s="17">
        <v>7.35</v>
      </c>
      <c r="K43" s="9">
        <v>2</v>
      </c>
      <c r="L43" s="9">
        <f t="shared" ref="L43:L50" si="23">ROUNDUP(I43/K43,0)</f>
        <v>51</v>
      </c>
      <c r="M43" s="9">
        <v>20</v>
      </c>
      <c r="N43" s="9">
        <f t="shared" si="19"/>
        <v>2</v>
      </c>
      <c r="O43" s="56">
        <f t="shared" si="20"/>
        <v>11</v>
      </c>
      <c r="P43" s="9">
        <f t="shared" ref="P43:P50" si="24">I43-(L43-1)*K43</f>
        <v>1</v>
      </c>
      <c r="Q43" s="9" t="s">
        <v>29</v>
      </c>
      <c r="R43" s="9" t="s">
        <v>30</v>
      </c>
      <c r="S43" s="19">
        <f t="shared" si="21"/>
        <v>954.35</v>
      </c>
      <c r="T43" s="69" t="s">
        <v>30</v>
      </c>
    </row>
    <row r="44" s="6" customFormat="1" ht="15.75" spans="1:20">
      <c r="A44" s="9"/>
      <c r="B44" s="9">
        <v>2</v>
      </c>
      <c r="C44" s="9" t="s">
        <v>31</v>
      </c>
      <c r="D44" s="9" t="s">
        <v>32</v>
      </c>
      <c r="E44" s="14" t="s">
        <v>24</v>
      </c>
      <c r="F44" s="14" t="s">
        <v>33</v>
      </c>
      <c r="G44" s="14" t="s">
        <v>34</v>
      </c>
      <c r="H44" s="15" t="s">
        <v>35</v>
      </c>
      <c r="I44" s="16">
        <v>101</v>
      </c>
      <c r="J44" s="17">
        <v>5.83</v>
      </c>
      <c r="K44" s="9">
        <v>3</v>
      </c>
      <c r="L44" s="9">
        <f t="shared" si="23"/>
        <v>34</v>
      </c>
      <c r="M44" s="9">
        <v>20</v>
      </c>
      <c r="N44" s="9">
        <f t="shared" si="19"/>
        <v>1</v>
      </c>
      <c r="O44" s="9">
        <f t="shared" si="20"/>
        <v>14</v>
      </c>
      <c r="P44" s="9">
        <f t="shared" si="24"/>
        <v>2</v>
      </c>
      <c r="Q44" s="9" t="s">
        <v>29</v>
      </c>
      <c r="R44" s="9" t="s">
        <v>30</v>
      </c>
      <c r="S44" s="19">
        <f t="shared" si="21"/>
        <v>711.83</v>
      </c>
      <c r="T44" s="5" t="s">
        <v>30</v>
      </c>
    </row>
    <row r="45" s="6" customFormat="1" ht="15.75" spans="1:20">
      <c r="A45" s="9"/>
      <c r="B45" s="9">
        <v>3</v>
      </c>
      <c r="C45" s="9" t="s">
        <v>36</v>
      </c>
      <c r="D45" s="9" t="s">
        <v>37</v>
      </c>
      <c r="E45" s="14" t="s">
        <v>24</v>
      </c>
      <c r="F45" s="14" t="s">
        <v>38</v>
      </c>
      <c r="G45" s="14" t="s">
        <v>39</v>
      </c>
      <c r="H45" s="15" t="s">
        <v>40</v>
      </c>
      <c r="I45" s="16">
        <v>90</v>
      </c>
      <c r="J45" s="17">
        <v>6.34</v>
      </c>
      <c r="K45" s="9">
        <v>2</v>
      </c>
      <c r="L45" s="9">
        <f t="shared" si="23"/>
        <v>45</v>
      </c>
      <c r="M45" s="9">
        <v>20</v>
      </c>
      <c r="N45" s="9">
        <f t="shared" si="19"/>
        <v>2</v>
      </c>
      <c r="O45" s="57">
        <f t="shared" si="20"/>
        <v>5</v>
      </c>
      <c r="P45" s="9" t="s">
        <v>28</v>
      </c>
      <c r="Q45" s="9" t="s">
        <v>29</v>
      </c>
      <c r="R45" s="9" t="s">
        <v>30</v>
      </c>
      <c r="S45" s="19">
        <f t="shared" si="21"/>
        <v>770.6</v>
      </c>
      <c r="T45" s="70" t="s">
        <v>30</v>
      </c>
    </row>
    <row r="46" s="6" customFormat="1" ht="15.75" spans="1:20">
      <c r="A46" s="9"/>
      <c r="B46" s="9">
        <v>4</v>
      </c>
      <c r="C46" s="9" t="s">
        <v>41</v>
      </c>
      <c r="D46" s="9" t="s">
        <v>42</v>
      </c>
      <c r="E46" s="14" t="s">
        <v>24</v>
      </c>
      <c r="F46" s="14" t="s">
        <v>43</v>
      </c>
      <c r="G46" s="14" t="s">
        <v>44</v>
      </c>
      <c r="H46" s="15" t="s">
        <v>45</v>
      </c>
      <c r="I46" s="16">
        <v>90</v>
      </c>
      <c r="J46" s="17">
        <v>6.83</v>
      </c>
      <c r="K46" s="9">
        <v>3</v>
      </c>
      <c r="L46" s="9">
        <f t="shared" si="23"/>
        <v>30</v>
      </c>
      <c r="M46" s="9">
        <v>20</v>
      </c>
      <c r="N46" s="9">
        <f t="shared" si="19"/>
        <v>1</v>
      </c>
      <c r="O46" s="57">
        <f t="shared" si="20"/>
        <v>10</v>
      </c>
      <c r="P46" s="9" t="s">
        <v>28</v>
      </c>
      <c r="Q46" s="9" t="s">
        <v>29</v>
      </c>
      <c r="R46" s="9" t="s">
        <v>30</v>
      </c>
      <c r="S46" s="19">
        <f t="shared" si="21"/>
        <v>729.7</v>
      </c>
      <c r="T46" s="70"/>
    </row>
    <row r="47" s="6" customFormat="1" ht="15.75" spans="1:20">
      <c r="A47" s="9"/>
      <c r="B47" s="9">
        <v>5</v>
      </c>
      <c r="C47" s="9" t="s">
        <v>46</v>
      </c>
      <c r="D47" s="9" t="s">
        <v>47</v>
      </c>
      <c r="E47" s="14" t="s">
        <v>24</v>
      </c>
      <c r="F47" s="14" t="s">
        <v>48</v>
      </c>
      <c r="G47" s="14" t="s">
        <v>49</v>
      </c>
      <c r="H47" s="15" t="s">
        <v>50</v>
      </c>
      <c r="I47" s="16">
        <v>3</v>
      </c>
      <c r="J47" s="17">
        <v>3.95</v>
      </c>
      <c r="K47" s="9">
        <v>4</v>
      </c>
      <c r="L47" s="9">
        <f t="shared" si="23"/>
        <v>1</v>
      </c>
      <c r="M47" s="9">
        <v>20</v>
      </c>
      <c r="N47" s="9">
        <f t="shared" si="19"/>
        <v>0</v>
      </c>
      <c r="O47" s="57">
        <f t="shared" si="20"/>
        <v>1</v>
      </c>
      <c r="P47" s="9">
        <f t="shared" si="24"/>
        <v>3</v>
      </c>
      <c r="Q47" s="9" t="s">
        <v>29</v>
      </c>
      <c r="R47" s="9" t="s">
        <v>30</v>
      </c>
      <c r="S47" s="19">
        <f t="shared" si="21"/>
        <v>13.85</v>
      </c>
      <c r="T47" s="70"/>
    </row>
    <row r="48" s="6" customFormat="1" ht="15.75" spans="1:20">
      <c r="A48" s="9"/>
      <c r="B48" s="9">
        <v>6</v>
      </c>
      <c r="C48" s="9" t="s">
        <v>51</v>
      </c>
      <c r="D48" s="9" t="s">
        <v>52</v>
      </c>
      <c r="E48" s="14" t="s">
        <v>24</v>
      </c>
      <c r="F48" s="14" t="s">
        <v>53</v>
      </c>
      <c r="G48" s="14" t="s">
        <v>54</v>
      </c>
      <c r="H48" s="15" t="s">
        <v>55</v>
      </c>
      <c r="I48" s="16">
        <v>3</v>
      </c>
      <c r="J48" s="17">
        <v>2.66</v>
      </c>
      <c r="K48" s="9">
        <v>6</v>
      </c>
      <c r="L48" s="9">
        <f t="shared" si="23"/>
        <v>1</v>
      </c>
      <c r="M48" s="9">
        <v>20</v>
      </c>
      <c r="N48" s="9">
        <f t="shared" si="19"/>
        <v>0</v>
      </c>
      <c r="O48" s="57">
        <f t="shared" si="20"/>
        <v>1</v>
      </c>
      <c r="P48" s="9">
        <f t="shared" si="24"/>
        <v>3</v>
      </c>
      <c r="Q48" s="9" t="s">
        <v>29</v>
      </c>
      <c r="R48" s="9" t="s">
        <v>30</v>
      </c>
      <c r="S48" s="19">
        <f t="shared" si="21"/>
        <v>9.98</v>
      </c>
      <c r="T48" s="70"/>
    </row>
    <row r="49" s="6" customFormat="1" ht="15.75" spans="1:20">
      <c r="A49" s="9"/>
      <c r="B49" s="9">
        <v>7</v>
      </c>
      <c r="C49" s="9" t="s">
        <v>56</v>
      </c>
      <c r="D49" s="9" t="s">
        <v>57</v>
      </c>
      <c r="E49" s="14" t="s">
        <v>24</v>
      </c>
      <c r="F49" s="14" t="s">
        <v>58</v>
      </c>
      <c r="G49" s="14" t="s">
        <v>59</v>
      </c>
      <c r="H49" s="15" t="s">
        <v>60</v>
      </c>
      <c r="I49" s="16">
        <v>11</v>
      </c>
      <c r="J49" s="17">
        <v>2.95</v>
      </c>
      <c r="K49" s="9">
        <v>4</v>
      </c>
      <c r="L49" s="9">
        <f t="shared" si="23"/>
        <v>3</v>
      </c>
      <c r="M49" s="9">
        <v>20</v>
      </c>
      <c r="N49" s="9">
        <f t="shared" si="19"/>
        <v>0</v>
      </c>
      <c r="O49" s="57">
        <f t="shared" si="20"/>
        <v>3</v>
      </c>
      <c r="P49" s="9">
        <f t="shared" si="24"/>
        <v>3</v>
      </c>
      <c r="Q49" s="9" t="s">
        <v>29</v>
      </c>
      <c r="R49" s="9" t="s">
        <v>30</v>
      </c>
      <c r="S49" s="19">
        <f t="shared" si="21"/>
        <v>38.45</v>
      </c>
      <c r="T49" s="70"/>
    </row>
    <row r="50" s="6" customFormat="1" ht="15.75" spans="1:20">
      <c r="A50" s="9"/>
      <c r="B50" s="9">
        <v>8</v>
      </c>
      <c r="C50" s="9" t="s">
        <v>61</v>
      </c>
      <c r="D50" s="9" t="s">
        <v>62</v>
      </c>
      <c r="E50" s="14" t="s">
        <v>24</v>
      </c>
      <c r="F50" s="14" t="s">
        <v>63</v>
      </c>
      <c r="G50" s="14" t="s">
        <v>64</v>
      </c>
      <c r="H50" s="15" t="s">
        <v>65</v>
      </c>
      <c r="I50" s="16">
        <v>11</v>
      </c>
      <c r="J50" s="17">
        <v>3.67</v>
      </c>
      <c r="K50" s="9">
        <v>6</v>
      </c>
      <c r="L50" s="9">
        <f t="shared" si="23"/>
        <v>2</v>
      </c>
      <c r="M50" s="9">
        <v>20</v>
      </c>
      <c r="N50" s="9">
        <f t="shared" si="19"/>
        <v>0</v>
      </c>
      <c r="O50" s="58">
        <f t="shared" si="20"/>
        <v>2</v>
      </c>
      <c r="P50" s="9">
        <f t="shared" si="24"/>
        <v>5</v>
      </c>
      <c r="Q50" s="9" t="s">
        <v>29</v>
      </c>
      <c r="R50" s="9" t="s">
        <v>30</v>
      </c>
      <c r="S50" s="19">
        <f t="shared" si="21"/>
        <v>44.37</v>
      </c>
      <c r="T50" s="71" t="s">
        <v>30</v>
      </c>
    </row>
    <row r="51" s="6" customFormat="1" ht="15.75" spans="1:20">
      <c r="A51" s="9"/>
      <c r="B51" s="9">
        <v>9</v>
      </c>
      <c r="C51" s="9" t="s">
        <v>66</v>
      </c>
      <c r="D51" s="9" t="s">
        <v>67</v>
      </c>
      <c r="E51" s="14" t="s">
        <v>68</v>
      </c>
      <c r="F51" s="14" t="s">
        <v>69</v>
      </c>
      <c r="G51" s="14" t="s">
        <v>70</v>
      </c>
      <c r="H51" s="15" t="s">
        <v>71</v>
      </c>
      <c r="I51" s="16">
        <v>71</v>
      </c>
      <c r="J51" s="17">
        <v>1.98</v>
      </c>
      <c r="K51" s="9" t="s">
        <v>28</v>
      </c>
      <c r="L51" s="9">
        <v>18</v>
      </c>
      <c r="M51" s="9">
        <v>20</v>
      </c>
      <c r="N51" s="9">
        <f t="shared" si="19"/>
        <v>0</v>
      </c>
      <c r="O51" s="58">
        <f t="shared" si="20"/>
        <v>18</v>
      </c>
      <c r="P51" s="9" t="s">
        <v>28</v>
      </c>
      <c r="Q51" s="9" t="s">
        <v>29</v>
      </c>
      <c r="R51" s="9" t="s">
        <v>30</v>
      </c>
      <c r="S51" s="19">
        <f>I51*J51+L51*2+N51*55+I52*J52</f>
        <v>444.68</v>
      </c>
      <c r="T51" s="71"/>
    </row>
    <row r="52" s="6" customFormat="1" ht="15.75" spans="1:20">
      <c r="A52" s="9"/>
      <c r="B52" s="9">
        <v>10</v>
      </c>
      <c r="C52" s="9" t="s">
        <v>72</v>
      </c>
      <c r="D52" s="9" t="s">
        <v>73</v>
      </c>
      <c r="E52" s="14" t="s">
        <v>68</v>
      </c>
      <c r="F52" s="14"/>
      <c r="G52" s="14"/>
      <c r="H52" s="15"/>
      <c r="I52" s="16">
        <v>70</v>
      </c>
      <c r="J52" s="17">
        <v>3.83</v>
      </c>
      <c r="K52" s="9" t="s">
        <v>28</v>
      </c>
      <c r="L52" s="9"/>
      <c r="M52" s="9">
        <v>20</v>
      </c>
      <c r="N52" s="9"/>
      <c r="O52" s="58"/>
      <c r="P52" s="9" t="s">
        <v>28</v>
      </c>
      <c r="Q52" s="9" t="s">
        <v>29</v>
      </c>
      <c r="R52" s="9" t="s">
        <v>30</v>
      </c>
      <c r="S52" s="19"/>
      <c r="T52" s="71"/>
    </row>
    <row r="53" s="6" customFormat="1" ht="15.75" spans="1:20">
      <c r="A53" s="9"/>
      <c r="B53" s="9">
        <v>11</v>
      </c>
      <c r="C53" s="9" t="s">
        <v>74</v>
      </c>
      <c r="D53" s="9" t="s">
        <v>75</v>
      </c>
      <c r="E53" s="14" t="s">
        <v>68</v>
      </c>
      <c r="F53" s="14"/>
      <c r="G53" s="14"/>
      <c r="H53" s="15"/>
      <c r="I53" s="16">
        <v>56</v>
      </c>
      <c r="J53" s="17">
        <v>5.69</v>
      </c>
      <c r="K53" s="9" t="s">
        <v>28</v>
      </c>
      <c r="L53" s="9">
        <v>18</v>
      </c>
      <c r="M53" s="9">
        <v>20</v>
      </c>
      <c r="N53" s="9">
        <f t="shared" ref="N53:N56" si="25">ROUNDDOWN(L53/M53,0)</f>
        <v>0</v>
      </c>
      <c r="O53" s="59">
        <f t="shared" ref="O53:O56" si="26">L53-M53*N53</f>
        <v>18</v>
      </c>
      <c r="P53" s="9" t="s">
        <v>28</v>
      </c>
      <c r="Q53" s="9" t="s">
        <v>29</v>
      </c>
      <c r="R53" s="9" t="s">
        <v>30</v>
      </c>
      <c r="S53" s="19">
        <f t="shared" ref="S53:S56" si="27">I53*J53+L53*2+N53*55</f>
        <v>354.64</v>
      </c>
      <c r="T53" s="72" t="s">
        <v>30</v>
      </c>
    </row>
    <row r="54" s="6" customFormat="1" ht="15.75" spans="1:20">
      <c r="A54" s="9"/>
      <c r="B54" s="9">
        <v>12</v>
      </c>
      <c r="C54" s="9" t="s">
        <v>76</v>
      </c>
      <c r="D54" s="9" t="s">
        <v>77</v>
      </c>
      <c r="E54" s="14" t="s">
        <v>68</v>
      </c>
      <c r="F54" s="14"/>
      <c r="G54" s="14"/>
      <c r="H54" s="15"/>
      <c r="I54" s="16">
        <v>6</v>
      </c>
      <c r="J54" s="17">
        <v>7.53</v>
      </c>
      <c r="K54" s="9" t="s">
        <v>28</v>
      </c>
      <c r="L54" s="9">
        <v>3</v>
      </c>
      <c r="M54" s="9">
        <v>20</v>
      </c>
      <c r="N54" s="9">
        <f t="shared" si="25"/>
        <v>0</v>
      </c>
      <c r="O54" s="56">
        <f t="shared" si="26"/>
        <v>3</v>
      </c>
      <c r="P54" s="9" t="s">
        <v>28</v>
      </c>
      <c r="Q54" s="9" t="s">
        <v>29</v>
      </c>
      <c r="R54" s="9" t="s">
        <v>30</v>
      </c>
      <c r="S54" s="19">
        <f t="shared" si="27"/>
        <v>51.18</v>
      </c>
      <c r="T54" s="5"/>
    </row>
    <row r="55" s="6" customFormat="1" ht="15.75" spans="1:20">
      <c r="A55" s="9"/>
      <c r="B55" s="9">
        <v>13</v>
      </c>
      <c r="C55" s="9" t="s">
        <v>78</v>
      </c>
      <c r="D55" s="9" t="s">
        <v>79</v>
      </c>
      <c r="E55" s="14" t="s">
        <v>68</v>
      </c>
      <c r="F55" s="14"/>
      <c r="G55" s="14"/>
      <c r="H55" s="15"/>
      <c r="I55" s="16">
        <v>1</v>
      </c>
      <c r="J55" s="17">
        <v>9.37</v>
      </c>
      <c r="K55" s="9" t="s">
        <v>28</v>
      </c>
      <c r="L55" s="9">
        <v>1</v>
      </c>
      <c r="M55" s="9">
        <v>20</v>
      </c>
      <c r="N55" s="9">
        <f t="shared" si="25"/>
        <v>0</v>
      </c>
      <c r="O55" s="59">
        <f t="shared" si="26"/>
        <v>1</v>
      </c>
      <c r="P55" s="9" t="s">
        <v>28</v>
      </c>
      <c r="Q55" s="9" t="s">
        <v>29</v>
      </c>
      <c r="R55" s="9" t="s">
        <v>30</v>
      </c>
      <c r="S55" s="19">
        <f t="shared" si="27"/>
        <v>11.37</v>
      </c>
      <c r="T55" s="72"/>
    </row>
    <row r="56" s="6" customFormat="1" ht="15.75" spans="1:20">
      <c r="A56" s="9"/>
      <c r="B56" s="9">
        <v>14</v>
      </c>
      <c r="C56" s="9" t="s">
        <v>83</v>
      </c>
      <c r="D56" s="9" t="s">
        <v>84</v>
      </c>
      <c r="E56" s="14" t="s">
        <v>68</v>
      </c>
      <c r="F56" s="14"/>
      <c r="G56" s="14"/>
      <c r="H56" s="15"/>
      <c r="I56" s="16">
        <v>1</v>
      </c>
      <c r="J56" s="17">
        <v>11.21</v>
      </c>
      <c r="K56" s="9" t="s">
        <v>28</v>
      </c>
      <c r="L56" s="9">
        <v>1</v>
      </c>
      <c r="M56" s="9">
        <v>20</v>
      </c>
      <c r="N56" s="9">
        <f t="shared" si="25"/>
        <v>0</v>
      </c>
      <c r="O56" s="59">
        <f t="shared" si="26"/>
        <v>1</v>
      </c>
      <c r="P56" s="9" t="s">
        <v>28</v>
      </c>
      <c r="Q56" s="9" t="s">
        <v>29</v>
      </c>
      <c r="R56" s="9" t="s">
        <v>30</v>
      </c>
      <c r="S56" s="19">
        <f t="shared" si="27"/>
        <v>13.21</v>
      </c>
      <c r="T56" s="72"/>
    </row>
    <row r="57" s="6" customFormat="1" ht="15.75" spans="1:20">
      <c r="A57" s="73"/>
      <c r="B57" s="73"/>
      <c r="C57" s="73"/>
      <c r="D57" s="73"/>
      <c r="E57" s="74"/>
      <c r="F57" s="74"/>
      <c r="G57" s="74"/>
      <c r="H57" s="75"/>
      <c r="I57" s="76"/>
      <c r="J57" s="77"/>
      <c r="K57" s="73"/>
      <c r="L57" s="73">
        <f t="shared" ref="L57:O57" si="28">SUM(L43:L56)</f>
        <v>208</v>
      </c>
      <c r="M57" s="73"/>
      <c r="N57" s="73">
        <f t="shared" si="28"/>
        <v>6</v>
      </c>
      <c r="O57" s="73">
        <f t="shared" si="28"/>
        <v>88</v>
      </c>
      <c r="P57" s="73"/>
      <c r="Q57" s="73"/>
      <c r="R57" s="73"/>
      <c r="S57" s="78">
        <f>SUM(S43:S56)+55*T57</f>
        <v>4423.21</v>
      </c>
      <c r="T57" s="5">
        <v>5</v>
      </c>
    </row>
    <row r="58" s="6" customFormat="1" ht="15.75" spans="1:20">
      <c r="A58" s="5"/>
      <c r="B58" s="5"/>
      <c r="C58" s="5"/>
      <c r="D58" s="5"/>
      <c r="E58" s="79"/>
      <c r="F58" s="79"/>
      <c r="G58" s="74"/>
      <c r="H58" s="75"/>
      <c r="I58" s="76"/>
      <c r="J58" s="77"/>
      <c r="K58" s="73"/>
      <c r="L58" s="5"/>
      <c r="M58" s="5"/>
      <c r="N58" s="5"/>
      <c r="O58" s="5"/>
      <c r="P58" s="5"/>
      <c r="Q58" s="5"/>
      <c r="R58" s="5"/>
      <c r="S58" s="80"/>
      <c r="T58" s="5"/>
    </row>
    <row r="59" s="5" customFormat="1" ht="31.5" spans="1:20">
      <c r="A59" s="9" t="s">
        <v>1</v>
      </c>
      <c r="B59" s="9" t="s">
        <v>2</v>
      </c>
      <c r="C59" s="9" t="s">
        <v>3</v>
      </c>
      <c r="D59" s="9" t="s">
        <v>4</v>
      </c>
      <c r="E59" s="9" t="s">
        <v>5</v>
      </c>
      <c r="F59" s="9" t="s">
        <v>6</v>
      </c>
      <c r="G59" s="9" t="s">
        <v>7</v>
      </c>
      <c r="H59" s="9" t="s">
        <v>8</v>
      </c>
      <c r="I59" s="9" t="s">
        <v>9</v>
      </c>
      <c r="J59" s="10" t="s">
        <v>10</v>
      </c>
      <c r="K59" s="10" t="s">
        <v>11</v>
      </c>
      <c r="L59" s="10" t="s">
        <v>12</v>
      </c>
      <c r="M59" s="10" t="s">
        <v>13</v>
      </c>
      <c r="N59" s="10" t="s">
        <v>14</v>
      </c>
      <c r="O59" s="11" t="s">
        <v>15</v>
      </c>
      <c r="P59" s="10" t="s">
        <v>16</v>
      </c>
      <c r="Q59" s="10" t="s">
        <v>17</v>
      </c>
      <c r="R59" s="10" t="s">
        <v>18</v>
      </c>
      <c r="S59" s="12" t="s">
        <v>19</v>
      </c>
      <c r="T59" s="11" t="s">
        <v>20</v>
      </c>
    </row>
    <row r="60" s="6" customFormat="1" ht="15.75" spans="1:20">
      <c r="A60" s="9" t="s">
        <v>85</v>
      </c>
      <c r="B60" s="9">
        <v>1</v>
      </c>
      <c r="C60" s="9" t="s">
        <v>22</v>
      </c>
      <c r="D60" s="9" t="s">
        <v>23</v>
      </c>
      <c r="E60" s="14" t="s">
        <v>24</v>
      </c>
      <c r="F60" s="14" t="s">
        <v>25</v>
      </c>
      <c r="G60" s="14" t="s">
        <v>26</v>
      </c>
      <c r="H60" s="15" t="s">
        <v>27</v>
      </c>
      <c r="I60" s="16">
        <v>82</v>
      </c>
      <c r="J60" s="17">
        <v>7.35</v>
      </c>
      <c r="K60" s="9">
        <v>2</v>
      </c>
      <c r="L60" s="9">
        <f t="shared" ref="L60:L67" si="29">ROUNDUP(I60/K60,0)</f>
        <v>41</v>
      </c>
      <c r="M60" s="9">
        <v>20</v>
      </c>
      <c r="N60" s="9">
        <f t="shared" ref="N60:N68" si="30">ROUNDDOWN(L60/M60,0)</f>
        <v>2</v>
      </c>
      <c r="O60" s="36">
        <f t="shared" ref="O60:O68" si="31">L60-M60*N60</f>
        <v>1</v>
      </c>
      <c r="P60" s="9" t="s">
        <v>28</v>
      </c>
      <c r="Q60" s="9" t="s">
        <v>29</v>
      </c>
      <c r="R60" s="9" t="s">
        <v>30</v>
      </c>
      <c r="S60" s="19">
        <f t="shared" ref="S60:S67" si="32">I60*J60+L60*2+N60*55</f>
        <v>794.7</v>
      </c>
      <c r="T60" s="37" t="s">
        <v>30</v>
      </c>
    </row>
    <row r="61" s="6" customFormat="1" ht="15.75" spans="1:20">
      <c r="A61" s="9"/>
      <c r="B61" s="9">
        <v>2</v>
      </c>
      <c r="C61" s="9" t="s">
        <v>31</v>
      </c>
      <c r="D61" s="9" t="s">
        <v>32</v>
      </c>
      <c r="E61" s="14" t="s">
        <v>24</v>
      </c>
      <c r="F61" s="14" t="s">
        <v>33</v>
      </c>
      <c r="G61" s="14" t="s">
        <v>34</v>
      </c>
      <c r="H61" s="15" t="s">
        <v>35</v>
      </c>
      <c r="I61" s="16">
        <v>82</v>
      </c>
      <c r="J61" s="17">
        <v>5.83</v>
      </c>
      <c r="K61" s="9">
        <v>3</v>
      </c>
      <c r="L61" s="9">
        <f t="shared" si="29"/>
        <v>28</v>
      </c>
      <c r="M61" s="9">
        <v>20</v>
      </c>
      <c r="N61" s="9">
        <f t="shared" si="30"/>
        <v>1</v>
      </c>
      <c r="O61" s="36">
        <f t="shared" si="31"/>
        <v>8</v>
      </c>
      <c r="P61" s="9">
        <f t="shared" ref="P61:P67" si="33">I61-(L61-1)*K61</f>
        <v>1</v>
      </c>
      <c r="Q61" s="9" t="s">
        <v>29</v>
      </c>
      <c r="R61" s="9" t="s">
        <v>30</v>
      </c>
      <c r="S61" s="19">
        <f t="shared" si="32"/>
        <v>589.06</v>
      </c>
      <c r="T61" s="37"/>
    </row>
    <row r="62" s="6" customFormat="1" ht="15.75" spans="1:20">
      <c r="A62" s="9"/>
      <c r="B62" s="9">
        <v>3</v>
      </c>
      <c r="C62" s="9" t="s">
        <v>36</v>
      </c>
      <c r="D62" s="9" t="s">
        <v>37</v>
      </c>
      <c r="E62" s="14" t="s">
        <v>24</v>
      </c>
      <c r="F62" s="14" t="s">
        <v>38</v>
      </c>
      <c r="G62" s="14" t="s">
        <v>39</v>
      </c>
      <c r="H62" s="15" t="s">
        <v>40</v>
      </c>
      <c r="I62" s="16">
        <v>72</v>
      </c>
      <c r="J62" s="17">
        <v>6.34</v>
      </c>
      <c r="K62" s="9">
        <v>2</v>
      </c>
      <c r="L62" s="9">
        <f t="shared" si="29"/>
        <v>36</v>
      </c>
      <c r="M62" s="9">
        <v>20</v>
      </c>
      <c r="N62" s="9">
        <f t="shared" si="30"/>
        <v>1</v>
      </c>
      <c r="O62" s="62">
        <f t="shared" si="31"/>
        <v>16</v>
      </c>
      <c r="P62" s="9" t="s">
        <v>28</v>
      </c>
      <c r="Q62" s="9" t="s">
        <v>29</v>
      </c>
      <c r="R62" s="9" t="s">
        <v>30</v>
      </c>
      <c r="S62" s="19">
        <f t="shared" si="32"/>
        <v>583.48</v>
      </c>
      <c r="T62" s="63" t="s">
        <v>30</v>
      </c>
    </row>
    <row r="63" s="6" customFormat="1" ht="15.75" spans="1:20">
      <c r="A63" s="9"/>
      <c r="B63" s="9">
        <v>4</v>
      </c>
      <c r="C63" s="9" t="s">
        <v>41</v>
      </c>
      <c r="D63" s="9" t="s">
        <v>42</v>
      </c>
      <c r="E63" s="14" t="s">
        <v>24</v>
      </c>
      <c r="F63" s="14" t="s">
        <v>43</v>
      </c>
      <c r="G63" s="14" t="s">
        <v>44</v>
      </c>
      <c r="H63" s="15" t="s">
        <v>45</v>
      </c>
      <c r="I63" s="16">
        <v>72</v>
      </c>
      <c r="J63" s="17">
        <v>6.83</v>
      </c>
      <c r="K63" s="9">
        <v>3</v>
      </c>
      <c r="L63" s="9">
        <f t="shared" si="29"/>
        <v>24</v>
      </c>
      <c r="M63" s="9">
        <v>20</v>
      </c>
      <c r="N63" s="9">
        <f t="shared" si="30"/>
        <v>1</v>
      </c>
      <c r="O63" s="62">
        <f t="shared" si="31"/>
        <v>4</v>
      </c>
      <c r="P63" s="9" t="s">
        <v>28</v>
      </c>
      <c r="Q63" s="9" t="s">
        <v>29</v>
      </c>
      <c r="R63" s="9" t="s">
        <v>30</v>
      </c>
      <c r="S63" s="19">
        <f t="shared" si="32"/>
        <v>594.76</v>
      </c>
      <c r="T63" s="63"/>
    </row>
    <row r="64" s="6" customFormat="1" ht="15.75" spans="1:20">
      <c r="A64" s="9"/>
      <c r="B64" s="9">
        <v>5</v>
      </c>
      <c r="C64" s="9" t="s">
        <v>46</v>
      </c>
      <c r="D64" s="9" t="s">
        <v>47</v>
      </c>
      <c r="E64" s="14" t="s">
        <v>24</v>
      </c>
      <c r="F64" s="14" t="s">
        <v>48</v>
      </c>
      <c r="G64" s="14" t="s">
        <v>49</v>
      </c>
      <c r="H64" s="15" t="s">
        <v>50</v>
      </c>
      <c r="I64" s="16">
        <v>3</v>
      </c>
      <c r="J64" s="17">
        <v>3.95</v>
      </c>
      <c r="K64" s="9">
        <v>4</v>
      </c>
      <c r="L64" s="9">
        <f t="shared" si="29"/>
        <v>1</v>
      </c>
      <c r="M64" s="9">
        <v>20</v>
      </c>
      <c r="N64" s="9">
        <f t="shared" si="30"/>
        <v>0</v>
      </c>
      <c r="O64" s="36">
        <f t="shared" si="31"/>
        <v>1</v>
      </c>
      <c r="P64" s="9">
        <f t="shared" si="33"/>
        <v>3</v>
      </c>
      <c r="Q64" s="9" t="s">
        <v>29</v>
      </c>
      <c r="R64" s="9" t="s">
        <v>30</v>
      </c>
      <c r="S64" s="19">
        <f t="shared" si="32"/>
        <v>13.85</v>
      </c>
      <c r="T64" s="37"/>
    </row>
    <row r="65" s="6" customFormat="1" ht="15.75" spans="1:20">
      <c r="A65" s="9"/>
      <c r="B65" s="9">
        <v>6</v>
      </c>
      <c r="C65" s="9" t="s">
        <v>51</v>
      </c>
      <c r="D65" s="9" t="s">
        <v>52</v>
      </c>
      <c r="E65" s="14" t="s">
        <v>24</v>
      </c>
      <c r="F65" s="14" t="s">
        <v>53</v>
      </c>
      <c r="G65" s="14" t="s">
        <v>54</v>
      </c>
      <c r="H65" s="15" t="s">
        <v>55</v>
      </c>
      <c r="I65" s="16">
        <v>3</v>
      </c>
      <c r="J65" s="17">
        <v>2.66</v>
      </c>
      <c r="K65" s="9">
        <v>6</v>
      </c>
      <c r="L65" s="9">
        <f t="shared" si="29"/>
        <v>1</v>
      </c>
      <c r="M65" s="9">
        <v>20</v>
      </c>
      <c r="N65" s="9">
        <f t="shared" si="30"/>
        <v>0</v>
      </c>
      <c r="O65" s="36">
        <f t="shared" si="31"/>
        <v>1</v>
      </c>
      <c r="P65" s="9">
        <f t="shared" si="33"/>
        <v>3</v>
      </c>
      <c r="Q65" s="9" t="s">
        <v>29</v>
      </c>
      <c r="R65" s="9" t="s">
        <v>30</v>
      </c>
      <c r="S65" s="19">
        <f t="shared" si="32"/>
        <v>9.98</v>
      </c>
      <c r="T65" s="37"/>
    </row>
    <row r="66" s="6" customFormat="1" ht="15.75" spans="1:20">
      <c r="A66" s="9"/>
      <c r="B66" s="9">
        <v>7</v>
      </c>
      <c r="C66" s="9" t="s">
        <v>56</v>
      </c>
      <c r="D66" s="9" t="s">
        <v>57</v>
      </c>
      <c r="E66" s="14" t="s">
        <v>24</v>
      </c>
      <c r="F66" s="14" t="s">
        <v>58</v>
      </c>
      <c r="G66" s="14" t="s">
        <v>59</v>
      </c>
      <c r="H66" s="15" t="s">
        <v>60</v>
      </c>
      <c r="I66" s="16">
        <v>11</v>
      </c>
      <c r="J66" s="17">
        <v>2.95</v>
      </c>
      <c r="K66" s="9">
        <v>4</v>
      </c>
      <c r="L66" s="9">
        <f t="shared" si="29"/>
        <v>3</v>
      </c>
      <c r="M66" s="9">
        <v>20</v>
      </c>
      <c r="N66" s="9">
        <f t="shared" si="30"/>
        <v>0</v>
      </c>
      <c r="O66" s="36">
        <f t="shared" si="31"/>
        <v>3</v>
      </c>
      <c r="P66" s="9">
        <f t="shared" si="33"/>
        <v>3</v>
      </c>
      <c r="Q66" s="9" t="s">
        <v>29</v>
      </c>
      <c r="R66" s="9" t="s">
        <v>30</v>
      </c>
      <c r="S66" s="19">
        <f t="shared" si="32"/>
        <v>38.45</v>
      </c>
      <c r="T66" s="37"/>
    </row>
    <row r="67" s="6" customFormat="1" ht="15.75" spans="1:20">
      <c r="A67" s="9"/>
      <c r="B67" s="9">
        <v>8</v>
      </c>
      <c r="C67" s="9" t="s">
        <v>61</v>
      </c>
      <c r="D67" s="9" t="s">
        <v>62</v>
      </c>
      <c r="E67" s="14" t="s">
        <v>24</v>
      </c>
      <c r="F67" s="14" t="s">
        <v>63</v>
      </c>
      <c r="G67" s="14" t="s">
        <v>64</v>
      </c>
      <c r="H67" s="15" t="s">
        <v>65</v>
      </c>
      <c r="I67" s="16">
        <v>11</v>
      </c>
      <c r="J67" s="17">
        <v>3.67</v>
      </c>
      <c r="K67" s="9">
        <v>6</v>
      </c>
      <c r="L67" s="9">
        <f t="shared" si="29"/>
        <v>2</v>
      </c>
      <c r="M67" s="9">
        <v>20</v>
      </c>
      <c r="N67" s="9">
        <f t="shared" si="30"/>
        <v>0</v>
      </c>
      <c r="O67" s="36">
        <f t="shared" si="31"/>
        <v>2</v>
      </c>
      <c r="P67" s="9">
        <f t="shared" si="33"/>
        <v>5</v>
      </c>
      <c r="Q67" s="9" t="s">
        <v>29</v>
      </c>
      <c r="R67" s="9" t="s">
        <v>30</v>
      </c>
      <c r="S67" s="19">
        <f t="shared" si="32"/>
        <v>44.37</v>
      </c>
      <c r="T67" s="37"/>
    </row>
    <row r="68" s="6" customFormat="1" ht="15.75" spans="1:20">
      <c r="A68" s="9"/>
      <c r="B68" s="9">
        <v>9</v>
      </c>
      <c r="C68" s="9" t="s">
        <v>66</v>
      </c>
      <c r="D68" s="9" t="s">
        <v>67</v>
      </c>
      <c r="E68" s="14" t="s">
        <v>68</v>
      </c>
      <c r="F68" s="14" t="s">
        <v>69</v>
      </c>
      <c r="G68" s="14" t="s">
        <v>70</v>
      </c>
      <c r="H68" s="15" t="s">
        <v>71</v>
      </c>
      <c r="I68" s="16">
        <v>60</v>
      </c>
      <c r="J68" s="17">
        <v>1.98</v>
      </c>
      <c r="K68" s="9" t="s">
        <v>28</v>
      </c>
      <c r="L68" s="13">
        <v>16</v>
      </c>
      <c r="M68" s="9">
        <v>20</v>
      </c>
      <c r="N68" s="13">
        <f t="shared" si="30"/>
        <v>0</v>
      </c>
      <c r="O68" s="13">
        <f t="shared" si="31"/>
        <v>16</v>
      </c>
      <c r="P68" s="9" t="s">
        <v>28</v>
      </c>
      <c r="Q68" s="9" t="s">
        <v>29</v>
      </c>
      <c r="R68" s="9" t="s">
        <v>30</v>
      </c>
      <c r="S68" s="29">
        <f>I68*J68+L68*2+N68*55+I69*J69</f>
        <v>384.43</v>
      </c>
      <c r="T68" s="5" t="s">
        <v>30</v>
      </c>
    </row>
    <row r="69" s="6" customFormat="1" ht="15.75" spans="1:20">
      <c r="A69" s="9"/>
      <c r="B69" s="9">
        <v>10</v>
      </c>
      <c r="C69" s="9" t="s">
        <v>72</v>
      </c>
      <c r="D69" s="9" t="s">
        <v>73</v>
      </c>
      <c r="E69" s="14" t="s">
        <v>68</v>
      </c>
      <c r="F69" s="14"/>
      <c r="G69" s="14"/>
      <c r="H69" s="15"/>
      <c r="I69" s="16">
        <v>61</v>
      </c>
      <c r="J69" s="17">
        <v>3.83</v>
      </c>
      <c r="K69" s="9" t="s">
        <v>28</v>
      </c>
      <c r="L69" s="22"/>
      <c r="M69" s="9">
        <v>20</v>
      </c>
      <c r="N69" s="22"/>
      <c r="O69" s="22"/>
      <c r="P69" s="9" t="s">
        <v>28</v>
      </c>
      <c r="Q69" s="9" t="s">
        <v>29</v>
      </c>
      <c r="R69" s="9" t="s">
        <v>30</v>
      </c>
      <c r="S69" s="34"/>
      <c r="T69" s="5"/>
    </row>
    <row r="70" s="6" customFormat="1" ht="15.75" spans="1:20">
      <c r="A70" s="9"/>
      <c r="B70" s="9">
        <v>11</v>
      </c>
      <c r="C70" s="9" t="s">
        <v>74</v>
      </c>
      <c r="D70" s="9" t="s">
        <v>75</v>
      </c>
      <c r="E70" s="14" t="s">
        <v>68</v>
      </c>
      <c r="F70" s="14"/>
      <c r="G70" s="14"/>
      <c r="H70" s="15"/>
      <c r="I70" s="16">
        <v>39</v>
      </c>
      <c r="J70" s="17">
        <v>5.69</v>
      </c>
      <c r="K70" s="9" t="s">
        <v>28</v>
      </c>
      <c r="L70" s="9">
        <v>16</v>
      </c>
      <c r="M70" s="9">
        <v>20</v>
      </c>
      <c r="N70" s="9">
        <f t="shared" ref="N70:N72" si="34">ROUNDDOWN(L70/M70,0)</f>
        <v>0</v>
      </c>
      <c r="O70" s="9">
        <f t="shared" ref="O70:O72" si="35">L70-M70*N70</f>
        <v>16</v>
      </c>
      <c r="P70" s="9" t="s">
        <v>28</v>
      </c>
      <c r="Q70" s="9" t="s">
        <v>29</v>
      </c>
      <c r="R70" s="9" t="s">
        <v>30</v>
      </c>
      <c r="S70" s="19">
        <f t="shared" ref="S70:S72" si="36">I70*J70+L70*2+N70*55</f>
        <v>253.91</v>
      </c>
      <c r="T70" s="5" t="s">
        <v>30</v>
      </c>
    </row>
    <row r="71" s="6" customFormat="1" ht="15.75" spans="1:20">
      <c r="A71" s="9"/>
      <c r="B71" s="9">
        <v>12</v>
      </c>
      <c r="C71" s="9" t="s">
        <v>76</v>
      </c>
      <c r="D71" s="9" t="s">
        <v>77</v>
      </c>
      <c r="E71" s="14" t="s">
        <v>68</v>
      </c>
      <c r="F71" s="14"/>
      <c r="G71" s="14"/>
      <c r="H71" s="15"/>
      <c r="I71" s="16">
        <v>7</v>
      </c>
      <c r="J71" s="17">
        <v>7.53</v>
      </c>
      <c r="K71" s="9" t="s">
        <v>28</v>
      </c>
      <c r="L71" s="9">
        <v>3</v>
      </c>
      <c r="M71" s="9">
        <v>20</v>
      </c>
      <c r="N71" s="9">
        <f t="shared" si="34"/>
        <v>0</v>
      </c>
      <c r="O71" s="36">
        <f t="shared" si="35"/>
        <v>3</v>
      </c>
      <c r="P71" s="9" t="s">
        <v>28</v>
      </c>
      <c r="Q71" s="9" t="s">
        <v>29</v>
      </c>
      <c r="R71" s="9" t="s">
        <v>30</v>
      </c>
      <c r="S71" s="19">
        <f t="shared" si="36"/>
        <v>58.71</v>
      </c>
      <c r="T71" s="37"/>
    </row>
    <row r="72" s="6" customFormat="1" ht="15.75" spans="1:20">
      <c r="A72" s="9"/>
      <c r="B72" s="9">
        <v>13</v>
      </c>
      <c r="C72" s="9" t="s">
        <v>78</v>
      </c>
      <c r="D72" s="9" t="s">
        <v>79</v>
      </c>
      <c r="E72" s="14" t="s">
        <v>68</v>
      </c>
      <c r="F72" s="14"/>
      <c r="G72" s="14"/>
      <c r="H72" s="15"/>
      <c r="I72" s="16">
        <v>1</v>
      </c>
      <c r="J72" s="17">
        <v>9.37</v>
      </c>
      <c r="K72" s="9" t="s">
        <v>28</v>
      </c>
      <c r="L72" s="9">
        <v>1</v>
      </c>
      <c r="M72" s="9">
        <v>20</v>
      </c>
      <c r="N72" s="9">
        <f t="shared" si="34"/>
        <v>0</v>
      </c>
      <c r="O72" s="36">
        <f t="shared" si="35"/>
        <v>1</v>
      </c>
      <c r="P72" s="9" t="s">
        <v>28</v>
      </c>
      <c r="Q72" s="9" t="s">
        <v>29</v>
      </c>
      <c r="R72" s="9" t="s">
        <v>30</v>
      </c>
      <c r="S72" s="19">
        <f t="shared" si="36"/>
        <v>11.37</v>
      </c>
      <c r="T72" s="37"/>
    </row>
    <row r="73" s="7" customFormat="1" ht="15.75" spans="1:20">
      <c r="B73" s="8"/>
      <c r="C73" s="8"/>
      <c r="D73" s="8"/>
      <c r="H73" s="8"/>
      <c r="I73" s="8"/>
      <c r="J73" s="8"/>
      <c r="K73" s="8"/>
      <c r="L73" s="5">
        <f t="shared" ref="L73:O73" si="37">SUM(L60:L72)</f>
        <v>172</v>
      </c>
      <c r="M73" s="8"/>
      <c r="N73" s="8">
        <f t="shared" si="37"/>
        <v>5</v>
      </c>
      <c r="O73" s="8">
        <f t="shared" si="37"/>
        <v>72</v>
      </c>
      <c r="P73" s="8"/>
      <c r="Q73" s="8"/>
      <c r="R73" s="8"/>
      <c r="S73" s="67">
        <f>SUM(S60:S72)+55*T73</f>
        <v>3597.07</v>
      </c>
      <c r="T73" s="8">
        <v>4</v>
      </c>
    </row>
    <row r="74" s="7" customFormat="1" ht="15.75" spans="1:20">
      <c r="B74" s="8"/>
      <c r="C74" s="8"/>
      <c r="D74" s="8"/>
      <c r="H74" s="8"/>
      <c r="I74" s="8"/>
      <c r="J74" s="8"/>
      <c r="K74" s="8"/>
      <c r="L74" s="5"/>
      <c r="M74" s="8"/>
      <c r="N74" s="8"/>
      <c r="O74" s="8"/>
      <c r="P74" s="8"/>
      <c r="Q74" s="8"/>
      <c r="R74" s="8"/>
      <c r="S74" s="67"/>
      <c r="T74" s="8"/>
    </row>
    <row r="75" s="5" customFormat="1" ht="31.5" spans="1:20">
      <c r="A75" s="9" t="s">
        <v>1</v>
      </c>
      <c r="B75" s="9" t="s">
        <v>2</v>
      </c>
      <c r="C75" s="9" t="s">
        <v>3</v>
      </c>
      <c r="D75" s="9" t="s">
        <v>4</v>
      </c>
      <c r="E75" s="9" t="s">
        <v>5</v>
      </c>
      <c r="F75" s="9" t="s">
        <v>6</v>
      </c>
      <c r="G75" s="9" t="s">
        <v>7</v>
      </c>
      <c r="H75" s="9" t="s">
        <v>8</v>
      </c>
      <c r="I75" s="9" t="s">
        <v>9</v>
      </c>
      <c r="J75" s="10" t="s">
        <v>10</v>
      </c>
      <c r="K75" s="10" t="s">
        <v>11</v>
      </c>
      <c r="L75" s="10" t="s">
        <v>12</v>
      </c>
      <c r="M75" s="10" t="s">
        <v>13</v>
      </c>
      <c r="N75" s="10" t="s">
        <v>14</v>
      </c>
      <c r="O75" s="11" t="s">
        <v>15</v>
      </c>
      <c r="P75" s="10" t="s">
        <v>16</v>
      </c>
      <c r="Q75" s="10" t="s">
        <v>17</v>
      </c>
      <c r="R75" s="10" t="s">
        <v>18</v>
      </c>
      <c r="S75" s="12" t="s">
        <v>19</v>
      </c>
      <c r="T75" s="11" t="s">
        <v>20</v>
      </c>
    </row>
    <row r="76" s="6" customFormat="1" ht="15.75" spans="1:20">
      <c r="A76" s="9" t="s">
        <v>86</v>
      </c>
      <c r="B76" s="9">
        <v>1</v>
      </c>
      <c r="C76" s="9" t="s">
        <v>87</v>
      </c>
      <c r="D76" s="9" t="s">
        <v>88</v>
      </c>
      <c r="E76" s="14" t="s">
        <v>86</v>
      </c>
      <c r="F76" s="14" t="s">
        <v>89</v>
      </c>
      <c r="G76" s="14" t="s">
        <v>90</v>
      </c>
      <c r="H76" s="15" t="s">
        <v>91</v>
      </c>
      <c r="I76" s="16">
        <v>3000</v>
      </c>
      <c r="J76" s="17">
        <v>0.13</v>
      </c>
      <c r="K76" s="9">
        <v>150</v>
      </c>
      <c r="L76" s="9">
        <f t="shared" ref="L76:L78" si="38">ROUNDUP(I76/K76,0)</f>
        <v>20</v>
      </c>
      <c r="M76" s="9">
        <v>20</v>
      </c>
      <c r="N76" s="9">
        <f t="shared" ref="N76:N78" si="39">ROUNDDOWN(L76/M76,0)</f>
        <v>1</v>
      </c>
      <c r="O76" s="9">
        <f t="shared" ref="O76:O78" si="40">L76-M76*N76</f>
        <v>0</v>
      </c>
      <c r="P76" s="9" t="s">
        <v>28</v>
      </c>
      <c r="Q76" s="9" t="s">
        <v>29</v>
      </c>
      <c r="R76" s="9" t="s">
        <v>30</v>
      </c>
      <c r="S76" s="19">
        <f t="shared" ref="S76:S78" si="41">I76*J76+L76*2+N76*55</f>
        <v>485</v>
      </c>
      <c r="T76" s="5"/>
    </row>
    <row r="77" s="6" customFormat="1" ht="15.75" spans="1:20">
      <c r="A77" s="9"/>
      <c r="B77" s="9">
        <v>2</v>
      </c>
      <c r="C77" s="9" t="s">
        <v>92</v>
      </c>
      <c r="D77" s="9" t="s">
        <v>93</v>
      </c>
      <c r="E77" s="14" t="s">
        <v>86</v>
      </c>
      <c r="F77" s="14" t="s">
        <v>94</v>
      </c>
      <c r="G77" s="14" t="s">
        <v>95</v>
      </c>
      <c r="H77" s="15" t="s">
        <v>96</v>
      </c>
      <c r="I77" s="16">
        <v>15000</v>
      </c>
      <c r="J77" s="17">
        <v>0.13</v>
      </c>
      <c r="K77" s="9">
        <v>150</v>
      </c>
      <c r="L77" s="9">
        <f t="shared" si="38"/>
        <v>100</v>
      </c>
      <c r="M77" s="9">
        <v>20</v>
      </c>
      <c r="N77" s="9">
        <f t="shared" si="39"/>
        <v>5</v>
      </c>
      <c r="O77" s="9">
        <f t="shared" si="40"/>
        <v>0</v>
      </c>
      <c r="P77" s="9" t="s">
        <v>28</v>
      </c>
      <c r="Q77" s="9" t="s">
        <v>29</v>
      </c>
      <c r="R77" s="9" t="s">
        <v>30</v>
      </c>
      <c r="S77" s="19">
        <f t="shared" si="41"/>
        <v>2425</v>
      </c>
      <c r="T77" s="5"/>
    </row>
    <row r="78" s="6" customFormat="1" ht="15.75" spans="1:20">
      <c r="A78" s="9"/>
      <c r="B78" s="9">
        <v>3</v>
      </c>
      <c r="C78" s="9" t="s">
        <v>97</v>
      </c>
      <c r="D78" s="9" t="s">
        <v>98</v>
      </c>
      <c r="E78" s="14" t="s">
        <v>86</v>
      </c>
      <c r="F78" s="14" t="s">
        <v>99</v>
      </c>
      <c r="G78" s="14" t="s">
        <v>100</v>
      </c>
      <c r="H78" s="15" t="s">
        <v>101</v>
      </c>
      <c r="I78" s="16">
        <v>1000</v>
      </c>
      <c r="J78" s="17">
        <v>0.31</v>
      </c>
      <c r="K78" s="9">
        <v>70</v>
      </c>
      <c r="L78" s="9">
        <f t="shared" si="38"/>
        <v>15</v>
      </c>
      <c r="M78" s="9">
        <v>20</v>
      </c>
      <c r="N78" s="9">
        <f t="shared" si="39"/>
        <v>0</v>
      </c>
      <c r="O78" s="64">
        <f t="shared" si="40"/>
        <v>15</v>
      </c>
      <c r="P78" s="9">
        <f>I78-(L78-1)*K78</f>
        <v>20</v>
      </c>
      <c r="Q78" s="9" t="s">
        <v>29</v>
      </c>
      <c r="R78" s="9" t="s">
        <v>30</v>
      </c>
      <c r="S78" s="19">
        <f t="shared" si="41"/>
        <v>340</v>
      </c>
      <c r="T78" s="65" t="s">
        <v>30</v>
      </c>
    </row>
    <row r="79" s="7" customFormat="1" ht="15.75" spans="1:20">
      <c r="B79" s="8"/>
      <c r="C79" s="8"/>
      <c r="D79" s="8"/>
      <c r="H79" s="8"/>
      <c r="I79" s="8"/>
      <c r="J79" s="8"/>
      <c r="K79" s="8"/>
      <c r="L79" s="5">
        <f t="shared" ref="L79:O79" si="42">SUM(L76:L78)</f>
        <v>135</v>
      </c>
      <c r="M79" s="8"/>
      <c r="N79" s="8">
        <f t="shared" si="42"/>
        <v>6</v>
      </c>
      <c r="O79" s="8">
        <f t="shared" si="42"/>
        <v>15</v>
      </c>
      <c r="P79" s="8"/>
      <c r="Q79" s="8"/>
      <c r="R79" s="8"/>
      <c r="S79" s="67">
        <f>SUM(S76:S78)+55*T79</f>
        <v>3305</v>
      </c>
      <c r="T79" s="8">
        <v>1</v>
      </c>
    </row>
    <row r="80" s="7" customFormat="1" ht="15.75" spans="1:20">
      <c r="B80" s="8"/>
      <c r="C80" s="8"/>
      <c r="D80" s="8"/>
      <c r="H80" s="8"/>
      <c r="I80" s="8"/>
      <c r="J80" s="8"/>
      <c r="K80" s="8"/>
      <c r="L80" s="5"/>
      <c r="M80" s="8"/>
      <c r="N80" s="8"/>
      <c r="O80" s="8"/>
      <c r="P80" s="8"/>
      <c r="Q80" s="8"/>
      <c r="R80" s="8"/>
      <c r="S80" s="67"/>
      <c r="T80" s="8"/>
    </row>
    <row r="81" s="6" customFormat="1" ht="15.75" spans="1:20">
      <c r="A81" s="5"/>
      <c r="B81" s="5"/>
      <c r="C81" s="5"/>
      <c r="D81" s="5"/>
      <c r="E81" s="79"/>
      <c r="F81" s="79"/>
      <c r="G81" s="74"/>
      <c r="H81" s="75"/>
      <c r="I81" s="76"/>
      <c r="J81" s="77"/>
      <c r="K81" s="73"/>
      <c r="L81" s="5"/>
      <c r="M81" s="5"/>
      <c r="N81" s="5"/>
      <c r="O81" s="5"/>
      <c r="P81" s="5"/>
      <c r="Q81" s="5"/>
      <c r="R81" s="5"/>
      <c r="S81" s="80"/>
      <c r="T81" s="5"/>
    </row>
    <row r="82" s="7" customFormat="1" ht="15.75" spans="1:20">
      <c r="B82" s="8"/>
      <c r="C82" s="8"/>
      <c r="D82" s="81"/>
      <c r="G82" s="82" t="s">
        <v>102</v>
      </c>
      <c r="H82" s="9"/>
      <c r="I82" s="9"/>
      <c r="J82" s="9"/>
      <c r="K82" s="9"/>
      <c r="L82" s="8"/>
      <c r="M82" s="8"/>
      <c r="N82" s="83"/>
      <c r="O82" s="8"/>
      <c r="P82" s="8"/>
      <c r="Q82" s="8"/>
      <c r="R82" s="8"/>
      <c r="S82" s="8"/>
      <c r="T82" s="8"/>
    </row>
    <row r="83" s="7" customFormat="1" ht="15.75" spans="1:20">
      <c r="B83" s="8"/>
      <c r="C83" s="8"/>
      <c r="D83" s="8"/>
      <c r="G83" s="82" t="s">
        <v>103</v>
      </c>
      <c r="H83" s="9">
        <f>L16+L28+L40+L57+L73+L79</f>
        <v>1221</v>
      </c>
      <c r="I83" s="9"/>
      <c r="J83" s="9"/>
      <c r="K83" s="9"/>
      <c r="L83" s="8"/>
      <c r="M83" s="8"/>
      <c r="N83" s="83"/>
      <c r="O83" s="8"/>
      <c r="P83" s="8"/>
      <c r="Q83" s="8"/>
      <c r="R83" s="8"/>
      <c r="S83" s="8"/>
      <c r="T83" s="8"/>
    </row>
    <row r="84" s="7" customFormat="1" ht="15.75" spans="1:20">
      <c r="B84" s="8"/>
      <c r="C84" s="8"/>
      <c r="D84" s="8"/>
      <c r="G84" s="82" t="s">
        <v>104</v>
      </c>
      <c r="H84" s="9" t="s">
        <v>29</v>
      </c>
      <c r="I84" s="9"/>
      <c r="J84" s="9">
        <v>1221</v>
      </c>
      <c r="K84" s="11"/>
      <c r="L84" s="8"/>
      <c r="M84" s="8"/>
      <c r="N84" s="83"/>
      <c r="O84" s="8"/>
      <c r="P84" s="8"/>
      <c r="Q84" s="8"/>
      <c r="R84" s="8"/>
      <c r="S84" s="8"/>
      <c r="T84" s="8"/>
    </row>
    <row r="85" s="7" customFormat="1" ht="15.75" spans="1:20">
      <c r="B85" s="8"/>
      <c r="C85" s="8"/>
      <c r="D85" s="8"/>
      <c r="G85" s="82" t="s">
        <v>105</v>
      </c>
      <c r="H85" s="9">
        <f>N16+N28+N40+N73+N79+T79+T73+T57+T40+T28+T16+N57</f>
        <v>64</v>
      </c>
      <c r="I85" s="9"/>
      <c r="J85" s="9"/>
      <c r="K85" s="9"/>
      <c r="L85" s="8"/>
      <c r="M85" s="8"/>
      <c r="N85" s="83"/>
      <c r="O85" s="8"/>
      <c r="P85" s="8"/>
      <c r="Q85" s="8"/>
      <c r="R85" s="8"/>
      <c r="S85" s="8"/>
      <c r="T85" s="8"/>
    </row>
    <row r="86" s="7" customFormat="1" ht="15.75" spans="1:20">
      <c r="B86" s="8"/>
      <c r="C86" s="8"/>
      <c r="D86" s="8"/>
      <c r="G86" s="82" t="s">
        <v>106</v>
      </c>
      <c r="H86" s="9" t="s">
        <v>30</v>
      </c>
      <c r="I86" s="9"/>
      <c r="J86" s="9">
        <v>64</v>
      </c>
      <c r="K86" s="84">
        <f>1150*1150*1215</f>
        <v>1606837500</v>
      </c>
      <c r="L86" s="85">
        <f>K86/1000000000*J86</f>
        <v>102.8376</v>
      </c>
      <c r="M86" s="8"/>
      <c r="N86" s="83"/>
      <c r="O86" s="8"/>
      <c r="P86" s="8"/>
      <c r="Q86" s="8"/>
      <c r="R86" s="8"/>
      <c r="S86" s="8"/>
      <c r="T86" s="8"/>
    </row>
    <row r="87" s="7" customFormat="1" ht="15.75" spans="1:20">
      <c r="B87" s="8"/>
      <c r="C87" s="8"/>
      <c r="D87" s="8"/>
      <c r="G87" s="82"/>
      <c r="H87" s="9"/>
      <c r="I87" s="9"/>
      <c r="J87" s="9"/>
      <c r="K87" s="84">
        <f>1130*1130*810</f>
        <v>1034289000</v>
      </c>
      <c r="L87" s="85">
        <f>K87/1000000000*J87</f>
        <v>0</v>
      </c>
      <c r="M87" s="8"/>
      <c r="N87" s="83"/>
      <c r="O87" s="8"/>
      <c r="P87" s="8"/>
      <c r="Q87" s="8"/>
      <c r="R87" s="8"/>
      <c r="S87" s="8"/>
      <c r="T87" s="8"/>
    </row>
    <row r="88" s="7" customFormat="1" ht="15.75" spans="1:20">
      <c r="B88" s="8"/>
      <c r="C88" s="8"/>
      <c r="D88" s="8"/>
      <c r="G88" s="82" t="s">
        <v>107</v>
      </c>
      <c r="H88" s="86">
        <f>SUM(L86:L87)</f>
        <v>102.8376</v>
      </c>
      <c r="I88" s="9"/>
      <c r="J88" s="9"/>
      <c r="K88" s="86"/>
      <c r="L88" s="85"/>
      <c r="M88" s="8"/>
      <c r="N88" s="83"/>
      <c r="O88" s="8"/>
      <c r="P88" s="8"/>
      <c r="Q88" s="8"/>
      <c r="R88" s="8"/>
      <c r="S88" s="8"/>
      <c r="T88" s="8"/>
    </row>
    <row r="89" s="7" customFormat="1" ht="15.75" spans="1:20">
      <c r="B89" s="8"/>
      <c r="C89" s="8"/>
      <c r="D89" s="8"/>
      <c r="G89" s="82" t="s">
        <v>108</v>
      </c>
      <c r="H89" s="17">
        <f>S16+S28+S40+S57+S73+S79</f>
        <v>26266.05</v>
      </c>
      <c r="I89" s="9"/>
      <c r="J89" s="9"/>
      <c r="K89" s="9"/>
      <c r="L89" s="8"/>
      <c r="M89" s="8"/>
      <c r="N89" s="83"/>
      <c r="O89" s="8"/>
      <c r="P89" s="8"/>
      <c r="Q89" s="8"/>
      <c r="R89" s="8"/>
      <c r="S89" s="8"/>
      <c r="T89" s="8"/>
    </row>
    <row r="90" s="7" customFormat="1" ht="15.75" spans="1:20">
      <c r="B90" s="8"/>
      <c r="C90" s="8"/>
      <c r="D90" s="8"/>
      <c r="G90" s="82" t="s">
        <v>109</v>
      </c>
      <c r="H90" s="9" t="s">
        <v>110</v>
      </c>
      <c r="I90" s="9"/>
      <c r="J90" s="9"/>
      <c r="K90" s="9"/>
      <c r="L90" s="8"/>
      <c r="M90" s="8"/>
      <c r="N90" s="83"/>
      <c r="O90" s="8"/>
      <c r="P90" s="8"/>
      <c r="Q90" s="8"/>
      <c r="R90" s="8"/>
      <c r="S90" s="8"/>
      <c r="T90" s="8"/>
    </row>
    <row r="91" s="7" customFormat="1" spans="1:20">
      <c r="B91" s="8"/>
      <c r="C91" s="8"/>
      <c r="D91" s="8"/>
      <c r="H91" s="8"/>
      <c r="I91" s="8"/>
      <c r="J91" s="8"/>
      <c r="K91" s="8"/>
      <c r="L91" s="8"/>
      <c r="M91" s="8"/>
      <c r="N91" s="83"/>
      <c r="O91" s="8"/>
      <c r="P91" s="8"/>
      <c r="Q91" s="8"/>
      <c r="R91" s="8"/>
      <c r="S91" s="8"/>
      <c r="T91" s="8"/>
    </row>
    <row r="92" s="7" customFormat="1" spans="1:20">
      <c r="B92" s="8"/>
      <c r="C92" s="8"/>
      <c r="D92" s="8"/>
      <c r="H92" s="8"/>
      <c r="I92" s="8"/>
      <c r="J92" s="8"/>
      <c r="K92" s="8"/>
      <c r="L92" s="8"/>
      <c r="M92" s="8"/>
      <c r="N92" s="83"/>
      <c r="O92" s="8"/>
      <c r="P92" s="8"/>
      <c r="Q92" s="8"/>
      <c r="R92" s="8"/>
      <c r="S92" s="8"/>
      <c r="T92" s="8"/>
    </row>
    <row r="93" s="7" customFormat="1" spans="1:20">
      <c r="B93" s="8"/>
      <c r="C93" s="8"/>
      <c r="D93" s="8"/>
      <c r="H93" s="8"/>
      <c r="I93" s="8"/>
      <c r="J93" s="8"/>
      <c r="K93" s="8"/>
      <c r="L93" s="8"/>
      <c r="M93" s="8"/>
      <c r="N93" s="83"/>
      <c r="O93" s="8"/>
      <c r="P93" s="8"/>
      <c r="Q93" s="8"/>
      <c r="R93" s="8"/>
      <c r="S93" s="8"/>
      <c r="T93" s="8"/>
    </row>
    <row r="94" s="7" customFormat="1" spans="1:20">
      <c r="B94" s="8"/>
      <c r="C94" s="8"/>
      <c r="D94" s="8"/>
      <c r="H94" s="8"/>
      <c r="I94" s="8"/>
      <c r="J94" s="8"/>
      <c r="K94" s="8"/>
      <c r="L94" s="8"/>
      <c r="M94" s="8"/>
      <c r="N94" s="83"/>
      <c r="O94" s="8"/>
      <c r="P94" s="8"/>
      <c r="Q94" s="8"/>
      <c r="R94" s="8"/>
      <c r="S94" s="8"/>
      <c r="T94" s="8"/>
    </row>
    <row r="95" s="7" customFormat="1" spans="1:20">
      <c r="B95" s="8"/>
      <c r="C95" s="8"/>
      <c r="D95" s="8"/>
      <c r="H95" s="8"/>
      <c r="I95" s="8"/>
      <c r="J95" s="8"/>
      <c r="K95" s="8"/>
      <c r="L95" s="8"/>
      <c r="M95" s="8"/>
      <c r="N95" s="83"/>
      <c r="O95" s="8"/>
      <c r="P95" s="8"/>
      <c r="Q95" s="8"/>
      <c r="R95" s="8"/>
      <c r="S95" s="8"/>
      <c r="T95" s="8"/>
    </row>
    <row r="96" s="7" customFormat="1" spans="1:20">
      <c r="B96" s="8"/>
      <c r="C96" s="8"/>
      <c r="D96" s="8"/>
      <c r="H96" s="87"/>
      <c r="I96" s="8"/>
      <c r="J96" s="8"/>
      <c r="K96" s="8"/>
      <c r="L96" s="8"/>
      <c r="M96" s="8"/>
      <c r="N96" s="83"/>
      <c r="O96" s="8"/>
      <c r="P96" s="8"/>
      <c r="Q96" s="8"/>
      <c r="R96" s="8"/>
      <c r="S96" s="8"/>
      <c r="T96" s="8"/>
    </row>
    <row r="97" s="7" customFormat="1" spans="2:20">
      <c r="B97" s="8"/>
      <c r="C97" s="8"/>
      <c r="D97" s="8"/>
      <c r="H97" s="8"/>
      <c r="I97" s="8"/>
      <c r="J97" s="8"/>
      <c r="K97" s="8"/>
      <c r="L97" s="8"/>
      <c r="M97" s="8"/>
      <c r="N97" s="83"/>
      <c r="O97" s="8"/>
      <c r="P97" s="8"/>
      <c r="Q97" s="8"/>
      <c r="R97" s="8"/>
      <c r="S97" s="8"/>
      <c r="T97" s="8"/>
    </row>
    <row r="98" s="7" customFormat="1" spans="2:20">
      <c r="B98" s="8"/>
      <c r="C98" s="8"/>
      <c r="D98" s="8"/>
      <c r="H98" s="8"/>
      <c r="I98" s="8"/>
      <c r="J98" s="8"/>
      <c r="K98" s="8"/>
      <c r="L98" s="8"/>
      <c r="M98" s="8"/>
      <c r="N98" s="83"/>
      <c r="O98" s="8"/>
      <c r="P98" s="8"/>
      <c r="Q98" s="8"/>
      <c r="R98" s="8"/>
      <c r="S98" s="8"/>
      <c r="T98" s="8"/>
    </row>
    <row r="99" s="7" customFormat="1" spans="2:20">
      <c r="B99" s="8"/>
      <c r="C99" s="8"/>
      <c r="D99" s="8"/>
      <c r="H99" s="8"/>
      <c r="I99" s="8"/>
      <c r="J99" s="8"/>
      <c r="K99" s="8"/>
      <c r="L99" s="8"/>
      <c r="M99" s="8"/>
      <c r="N99" s="83"/>
      <c r="O99" s="8"/>
      <c r="P99" s="8"/>
      <c r="Q99" s="8"/>
      <c r="R99" s="8"/>
      <c r="S99" s="8"/>
      <c r="T99" s="8"/>
    </row>
    <row r="100" s="7" customFormat="1" spans="2:20">
      <c r="B100" s="8"/>
      <c r="C100" s="8"/>
      <c r="D100" s="8"/>
      <c r="H100" s="8"/>
      <c r="I100" s="8"/>
      <c r="J100" s="8"/>
      <c r="K100" s="8"/>
      <c r="L100" s="8"/>
      <c r="M100" s="8"/>
      <c r="N100" s="83"/>
      <c r="O100" s="8"/>
      <c r="P100" s="8"/>
      <c r="Q100" s="8"/>
      <c r="R100" s="8"/>
      <c r="S100" s="8"/>
      <c r="T100" s="8"/>
    </row>
  </sheetData>
  <mergeCells count="50">
    <mergeCell ref="A1:S1"/>
    <mergeCell ref="H84:I84"/>
    <mergeCell ref="A3:A15"/>
    <mergeCell ref="A19:A27"/>
    <mergeCell ref="A31:A39"/>
    <mergeCell ref="A43:A56"/>
    <mergeCell ref="A60:A72"/>
    <mergeCell ref="A76:A78"/>
    <mergeCell ref="F11:F15"/>
    <mergeCell ref="F25:F27"/>
    <mergeCell ref="F37:F39"/>
    <mergeCell ref="F51:F56"/>
    <mergeCell ref="F68:F72"/>
    <mergeCell ref="G11:G15"/>
    <mergeCell ref="G25:G27"/>
    <mergeCell ref="G37:G39"/>
    <mergeCell ref="G51:G56"/>
    <mergeCell ref="G68:G72"/>
    <mergeCell ref="H11:H15"/>
    <mergeCell ref="H25:H27"/>
    <mergeCell ref="H37:H39"/>
    <mergeCell ref="H51:H56"/>
    <mergeCell ref="H68:H72"/>
    <mergeCell ref="L11:L12"/>
    <mergeCell ref="L25:L26"/>
    <mergeCell ref="L37:L38"/>
    <mergeCell ref="L51:L52"/>
    <mergeCell ref="L68:L69"/>
    <mergeCell ref="N11:N12"/>
    <mergeCell ref="N25:N26"/>
    <mergeCell ref="N37:N38"/>
    <mergeCell ref="N51:N52"/>
    <mergeCell ref="N68:N69"/>
    <mergeCell ref="O11:O12"/>
    <mergeCell ref="O25:O26"/>
    <mergeCell ref="O37:O38"/>
    <mergeCell ref="O51:O52"/>
    <mergeCell ref="O68:O69"/>
    <mergeCell ref="S11:S12"/>
    <mergeCell ref="S25:S26"/>
    <mergeCell ref="S37:S38"/>
    <mergeCell ref="S51:S52"/>
    <mergeCell ref="S68:S69"/>
    <mergeCell ref="T9:T15"/>
    <mergeCell ref="T23:T27"/>
    <mergeCell ref="T36:T38"/>
    <mergeCell ref="T45:T49"/>
    <mergeCell ref="T50:T52"/>
    <mergeCell ref="T60:T61"/>
    <mergeCell ref="T62:T6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"/>
  <sheetViews>
    <sheetView zoomScale="70" zoomScaleNormal="70" workbookViewId="0">
      <selection activeCell="I1" sqref="I$1:I$1048576"/>
    </sheetView>
  </sheetViews>
  <sheetFormatPr defaultColWidth="9" defaultRowHeight="15"/>
  <cols>
    <col min="1" max="1" width="9" style="7"/>
    <col min="2" max="2" width="5.725" style="8" customWidth="1"/>
    <col min="3" max="4" width="17.25" style="8" customWidth="1"/>
    <col min="5" max="5" width="16.4416666666667" style="7" customWidth="1"/>
    <col min="6" max="6" width="23.225" style="7" customWidth="1"/>
    <col min="7" max="7" width="48.3833333333333" style="7" customWidth="1"/>
    <col min="8" max="8" width="17.25" style="8" customWidth="1"/>
    <col min="9" max="9" width="11.175" style="8" customWidth="1"/>
    <col min="10" max="10" width="13.3833333333333" style="8" customWidth="1"/>
    <col min="11" max="11" width="12" style="8" customWidth="1"/>
    <col min="12" max="12" width="13.2833333333333" style="8" customWidth="1"/>
    <col min="13" max="13" width="12" style="8" customWidth="1"/>
    <col min="14" max="16" width="10.6333333333333" style="8" customWidth="1"/>
    <col min="17" max="17" width="15.75" style="8" customWidth="1"/>
    <col min="18" max="18" width="18.1083333333333" style="8" customWidth="1"/>
    <col min="19" max="19" width="12.4166666666667" style="8" customWidth="1"/>
    <col min="20" max="16384" width="9" style="7"/>
  </cols>
  <sheetData>
    <row r="1" s="5" customFormat="1" ht="31.5" spans="1:20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0" t="s">
        <v>16</v>
      </c>
      <c r="Q1" s="10" t="s">
        <v>17</v>
      </c>
      <c r="R1" s="10" t="s">
        <v>18</v>
      </c>
      <c r="S1" s="12" t="s">
        <v>19</v>
      </c>
    </row>
    <row r="2" s="6" customFormat="1" ht="15.75" spans="1:20">
      <c r="A2" s="13" t="s">
        <v>21</v>
      </c>
      <c r="B2" s="9">
        <v>1</v>
      </c>
      <c r="C2" s="9" t="s">
        <v>22</v>
      </c>
      <c r="D2" s="9" t="s">
        <v>23</v>
      </c>
      <c r="E2" s="14" t="s">
        <v>24</v>
      </c>
      <c r="F2" s="14" t="s">
        <v>25</v>
      </c>
      <c r="G2" s="14" t="s">
        <v>26</v>
      </c>
      <c r="H2" s="15" t="s">
        <v>27</v>
      </c>
      <c r="I2" s="16">
        <v>40</v>
      </c>
      <c r="J2" s="17">
        <v>7.35</v>
      </c>
      <c r="K2" s="9">
        <v>2</v>
      </c>
      <c r="L2" s="9">
        <f t="shared" ref="L2:L7" si="0">ROUNDUP(I2/K2,0)</f>
        <v>20</v>
      </c>
      <c r="M2" s="9">
        <v>20</v>
      </c>
      <c r="N2" s="9">
        <f t="shared" ref="N2:N7" si="1">ROUNDDOWN(L2/M2,0)</f>
        <v>1</v>
      </c>
      <c r="O2" s="18">
        <f t="shared" ref="O2:O12" si="2">L2-M2*N2</f>
        <v>0</v>
      </c>
      <c r="P2" s="9" t="s">
        <v>28</v>
      </c>
      <c r="Q2" s="9" t="s">
        <v>29</v>
      </c>
      <c r="R2" s="9" t="s">
        <v>30</v>
      </c>
      <c r="S2" s="19">
        <f t="shared" ref="S2:S10" si="3">I2*J2+L2*2+N2*55</f>
        <v>389</v>
      </c>
    </row>
    <row r="3" s="6" customFormat="1" ht="15.75" spans="1:20">
      <c r="A3" s="20"/>
      <c r="B3" s="9">
        <v>2</v>
      </c>
      <c r="C3" s="9" t="s">
        <v>22</v>
      </c>
      <c r="D3" s="9" t="s">
        <v>23</v>
      </c>
      <c r="E3" s="14" t="s">
        <v>24</v>
      </c>
      <c r="F3" s="14" t="s">
        <v>25</v>
      </c>
      <c r="G3" s="14" t="s">
        <v>26</v>
      </c>
      <c r="H3" s="15" t="s">
        <v>27</v>
      </c>
      <c r="I3" s="16">
        <v>40</v>
      </c>
      <c r="J3" s="17">
        <v>7.35</v>
      </c>
      <c r="K3" s="9">
        <v>2</v>
      </c>
      <c r="L3" s="9">
        <f t="shared" si="0"/>
        <v>20</v>
      </c>
      <c r="M3" s="9">
        <v>20</v>
      </c>
      <c r="N3" s="9">
        <f t="shared" si="1"/>
        <v>1</v>
      </c>
      <c r="O3" s="18">
        <f t="shared" si="2"/>
        <v>0</v>
      </c>
      <c r="P3" s="9" t="s">
        <v>28</v>
      </c>
      <c r="Q3" s="9" t="s">
        <v>29</v>
      </c>
      <c r="R3" s="9" t="s">
        <v>30</v>
      </c>
      <c r="S3" s="19">
        <f t="shared" si="3"/>
        <v>389</v>
      </c>
    </row>
    <row r="4" s="6" customFormat="1" ht="15.75" spans="1:20">
      <c r="A4" s="20"/>
      <c r="B4" s="13">
        <v>3</v>
      </c>
      <c r="C4" s="9" t="s">
        <v>22</v>
      </c>
      <c r="D4" s="9" t="s">
        <v>23</v>
      </c>
      <c r="E4" s="14" t="s">
        <v>24</v>
      </c>
      <c r="F4" s="14" t="s">
        <v>25</v>
      </c>
      <c r="G4" s="14" t="s">
        <v>26</v>
      </c>
      <c r="H4" s="15" t="s">
        <v>27</v>
      </c>
      <c r="I4" s="16">
        <v>38</v>
      </c>
      <c r="J4" s="17">
        <v>7.35</v>
      </c>
      <c r="K4" s="9">
        <v>2</v>
      </c>
      <c r="L4" s="9">
        <f t="shared" si="0"/>
        <v>19</v>
      </c>
      <c r="M4" s="9">
        <v>20</v>
      </c>
      <c r="N4" s="9">
        <f t="shared" si="1"/>
        <v>0</v>
      </c>
      <c r="O4" s="18">
        <v>19</v>
      </c>
      <c r="P4" s="9" t="s">
        <v>28</v>
      </c>
      <c r="Q4" s="9" t="s">
        <v>29</v>
      </c>
      <c r="R4" s="13" t="s">
        <v>30</v>
      </c>
      <c r="S4" s="19">
        <f>I4*J4+L4*2+N4*55+55</f>
        <v>372.3</v>
      </c>
      <c r="T4" s="21"/>
    </row>
    <row r="5" s="6" customFormat="1" ht="15.75" spans="1:20">
      <c r="A5" s="20"/>
      <c r="B5" s="22"/>
      <c r="C5" s="9" t="s">
        <v>46</v>
      </c>
      <c r="D5" s="9" t="s">
        <v>47</v>
      </c>
      <c r="E5" s="14" t="s">
        <v>24</v>
      </c>
      <c r="F5" s="14" t="s">
        <v>48</v>
      </c>
      <c r="G5" s="14" t="s">
        <v>49</v>
      </c>
      <c r="H5" s="15" t="s">
        <v>50</v>
      </c>
      <c r="I5" s="16">
        <v>3</v>
      </c>
      <c r="J5" s="17">
        <v>3.95</v>
      </c>
      <c r="K5" s="9">
        <v>4</v>
      </c>
      <c r="L5" s="9">
        <f t="shared" si="0"/>
        <v>1</v>
      </c>
      <c r="M5" s="9">
        <v>20</v>
      </c>
      <c r="N5" s="9">
        <f t="shared" si="1"/>
        <v>0</v>
      </c>
      <c r="O5" s="18">
        <v>1</v>
      </c>
      <c r="P5" s="9">
        <v>3</v>
      </c>
      <c r="Q5" s="9" t="s">
        <v>29</v>
      </c>
      <c r="R5" s="22"/>
      <c r="S5" s="19">
        <f t="shared" si="3"/>
        <v>13.85</v>
      </c>
      <c r="T5" s="21"/>
    </row>
    <row r="6" s="6" customFormat="1" ht="15.75" spans="1:20">
      <c r="A6" s="20"/>
      <c r="B6" s="9">
        <v>4</v>
      </c>
      <c r="C6" s="9" t="s">
        <v>31</v>
      </c>
      <c r="D6" s="9" t="s">
        <v>32</v>
      </c>
      <c r="E6" s="14" t="s">
        <v>24</v>
      </c>
      <c r="F6" s="14" t="s">
        <v>33</v>
      </c>
      <c r="G6" s="14" t="s">
        <v>34</v>
      </c>
      <c r="H6" s="15" t="s">
        <v>35</v>
      </c>
      <c r="I6" s="16">
        <v>60</v>
      </c>
      <c r="J6" s="17">
        <v>5.83</v>
      </c>
      <c r="K6" s="9">
        <v>3</v>
      </c>
      <c r="L6" s="9">
        <f t="shared" ref="L6:L11" si="4">ROUNDUP(I6/K6,0)</f>
        <v>20</v>
      </c>
      <c r="M6" s="9">
        <v>20</v>
      </c>
      <c r="N6" s="9">
        <f t="shared" ref="N6:N11" si="5">ROUNDDOWN(L6/M6,0)</f>
        <v>1</v>
      </c>
      <c r="O6" s="9">
        <f t="shared" si="2"/>
        <v>0</v>
      </c>
      <c r="P6" s="9">
        <f t="shared" ref="P6:P11" si="6">I6-(L6-1)*K6</f>
        <v>3</v>
      </c>
      <c r="Q6" s="9" t="s">
        <v>29</v>
      </c>
      <c r="R6" s="9" t="s">
        <v>30</v>
      </c>
      <c r="S6" s="19">
        <f t="shared" si="3"/>
        <v>444.8</v>
      </c>
      <c r="T6" s="5"/>
    </row>
    <row r="7" s="6" customFormat="1" ht="15.75" spans="1:20">
      <c r="A7" s="20"/>
      <c r="B7" s="9">
        <v>5</v>
      </c>
      <c r="C7" s="9" t="s">
        <v>31</v>
      </c>
      <c r="D7" s="9" t="s">
        <v>32</v>
      </c>
      <c r="E7" s="14" t="s">
        <v>24</v>
      </c>
      <c r="F7" s="14" t="s">
        <v>33</v>
      </c>
      <c r="G7" s="14" t="s">
        <v>34</v>
      </c>
      <c r="H7" s="15" t="s">
        <v>35</v>
      </c>
      <c r="I7" s="16">
        <v>58</v>
      </c>
      <c r="J7" s="17">
        <v>5.83</v>
      </c>
      <c r="K7" s="9">
        <v>3</v>
      </c>
      <c r="L7" s="9">
        <f t="shared" si="4"/>
        <v>20</v>
      </c>
      <c r="M7" s="9">
        <v>20</v>
      </c>
      <c r="N7" s="9">
        <f t="shared" si="5"/>
        <v>1</v>
      </c>
      <c r="O7" s="9">
        <f t="shared" si="2"/>
        <v>0</v>
      </c>
      <c r="P7" s="9">
        <f t="shared" si="6"/>
        <v>1</v>
      </c>
      <c r="Q7" s="9" t="s">
        <v>29</v>
      </c>
      <c r="R7" s="9" t="s">
        <v>30</v>
      </c>
      <c r="S7" s="19">
        <f t="shared" si="3"/>
        <v>433.14</v>
      </c>
      <c r="T7" s="5"/>
    </row>
    <row r="8" s="6" customFormat="1" ht="15.75" spans="1:20">
      <c r="A8" s="20"/>
      <c r="B8" s="9">
        <v>6</v>
      </c>
      <c r="C8" s="9" t="s">
        <v>36</v>
      </c>
      <c r="D8" s="9" t="s">
        <v>37</v>
      </c>
      <c r="E8" s="14" t="s">
        <v>24</v>
      </c>
      <c r="F8" s="14" t="s">
        <v>38</v>
      </c>
      <c r="G8" s="14" t="s">
        <v>39</v>
      </c>
      <c r="H8" s="15" t="s">
        <v>40</v>
      </c>
      <c r="I8" s="16">
        <v>40</v>
      </c>
      <c r="J8" s="17">
        <v>6.34</v>
      </c>
      <c r="K8" s="9">
        <v>2</v>
      </c>
      <c r="L8" s="9">
        <f t="shared" si="4"/>
        <v>20</v>
      </c>
      <c r="M8" s="9">
        <v>20</v>
      </c>
      <c r="N8" s="9">
        <f t="shared" si="5"/>
        <v>1</v>
      </c>
      <c r="O8" s="23">
        <f t="shared" si="2"/>
        <v>0</v>
      </c>
      <c r="P8" s="9" t="s">
        <v>28</v>
      </c>
      <c r="Q8" s="9" t="s">
        <v>29</v>
      </c>
      <c r="R8" s="9" t="s">
        <v>30</v>
      </c>
      <c r="S8" s="19">
        <f t="shared" si="3"/>
        <v>348.6</v>
      </c>
      <c r="T8" s="24"/>
    </row>
    <row r="9" s="6" customFormat="1" ht="15.75" spans="1:20">
      <c r="A9" s="20"/>
      <c r="B9" s="9">
        <v>7</v>
      </c>
      <c r="C9" s="9" t="s">
        <v>36</v>
      </c>
      <c r="D9" s="9" t="s">
        <v>37</v>
      </c>
      <c r="E9" s="14" t="s">
        <v>24</v>
      </c>
      <c r="F9" s="14" t="s">
        <v>38</v>
      </c>
      <c r="G9" s="14" t="s">
        <v>39</v>
      </c>
      <c r="H9" s="15" t="s">
        <v>40</v>
      </c>
      <c r="I9" s="16">
        <v>40</v>
      </c>
      <c r="J9" s="17">
        <v>6.34</v>
      </c>
      <c r="K9" s="9">
        <v>2</v>
      </c>
      <c r="L9" s="9">
        <f t="shared" si="4"/>
        <v>20</v>
      </c>
      <c r="M9" s="9">
        <v>20</v>
      </c>
      <c r="N9" s="9">
        <f t="shared" si="5"/>
        <v>1</v>
      </c>
      <c r="O9" s="23">
        <f t="shared" si="2"/>
        <v>0</v>
      </c>
      <c r="P9" s="9" t="s">
        <v>28</v>
      </c>
      <c r="Q9" s="9" t="s">
        <v>29</v>
      </c>
      <c r="R9" s="9" t="s">
        <v>30</v>
      </c>
      <c r="S9" s="19">
        <f t="shared" si="3"/>
        <v>348.6</v>
      </c>
      <c r="T9" s="24"/>
    </row>
    <row r="10" s="6" customFormat="1" ht="15.75" spans="1:20">
      <c r="A10" s="20"/>
      <c r="B10" s="13">
        <v>8</v>
      </c>
      <c r="C10" s="9" t="s">
        <v>36</v>
      </c>
      <c r="D10" s="9" t="s">
        <v>37</v>
      </c>
      <c r="E10" s="14" t="s">
        <v>24</v>
      </c>
      <c r="F10" s="14" t="s">
        <v>38</v>
      </c>
      <c r="G10" s="14" t="s">
        <v>39</v>
      </c>
      <c r="H10" s="15" t="s">
        <v>40</v>
      </c>
      <c r="I10" s="16">
        <v>38</v>
      </c>
      <c r="J10" s="17">
        <v>6.34</v>
      </c>
      <c r="K10" s="9">
        <v>2</v>
      </c>
      <c r="L10" s="9">
        <f t="shared" si="4"/>
        <v>19</v>
      </c>
      <c r="M10" s="9">
        <v>20</v>
      </c>
      <c r="N10" s="9">
        <f t="shared" si="5"/>
        <v>0</v>
      </c>
      <c r="O10" s="23">
        <f t="shared" si="2"/>
        <v>19</v>
      </c>
      <c r="P10" s="9" t="s">
        <v>28</v>
      </c>
      <c r="Q10" s="9" t="s">
        <v>29</v>
      </c>
      <c r="R10" s="9" t="s">
        <v>30</v>
      </c>
      <c r="S10" s="19">
        <f>I10*J10+L10*2+N10*55+55</f>
        <v>333.92</v>
      </c>
      <c r="T10" s="24"/>
    </row>
    <row r="11" s="6" customFormat="1" ht="15.75" spans="1:20">
      <c r="A11" s="20"/>
      <c r="B11" s="22"/>
      <c r="C11" s="9" t="s">
        <v>51</v>
      </c>
      <c r="D11" s="9" t="s">
        <v>52</v>
      </c>
      <c r="E11" s="14" t="s">
        <v>24</v>
      </c>
      <c r="F11" s="14" t="s">
        <v>53</v>
      </c>
      <c r="G11" s="14" t="s">
        <v>54</v>
      </c>
      <c r="H11" s="15" t="s">
        <v>55</v>
      </c>
      <c r="I11" s="16">
        <v>3</v>
      </c>
      <c r="J11" s="17">
        <v>2.66</v>
      </c>
      <c r="K11" s="9">
        <v>6</v>
      </c>
      <c r="L11" s="9">
        <f t="shared" si="4"/>
        <v>1</v>
      </c>
      <c r="M11" s="9">
        <v>20</v>
      </c>
      <c r="N11" s="9">
        <f t="shared" si="5"/>
        <v>0</v>
      </c>
      <c r="O11" s="23">
        <f t="shared" si="2"/>
        <v>1</v>
      </c>
      <c r="P11" s="9">
        <f t="shared" si="6"/>
        <v>3</v>
      </c>
      <c r="Q11" s="9" t="s">
        <v>29</v>
      </c>
      <c r="R11" s="9" t="s">
        <v>30</v>
      </c>
      <c r="S11" s="19">
        <f t="shared" ref="S11:S17" si="7">I11*J11+L11*2+N11*55</f>
        <v>9.98</v>
      </c>
      <c r="T11" s="24"/>
    </row>
    <row r="12" s="6" customFormat="1" ht="15.75" spans="1:20">
      <c r="A12" s="20"/>
      <c r="B12" s="9">
        <v>9</v>
      </c>
      <c r="C12" s="9" t="s">
        <v>41</v>
      </c>
      <c r="D12" s="9" t="s">
        <v>42</v>
      </c>
      <c r="E12" s="14" t="s">
        <v>24</v>
      </c>
      <c r="F12" s="14" t="s">
        <v>43</v>
      </c>
      <c r="G12" s="14" t="s">
        <v>44</v>
      </c>
      <c r="H12" s="15" t="s">
        <v>45</v>
      </c>
      <c r="I12" s="16">
        <v>60</v>
      </c>
      <c r="J12" s="17">
        <v>6.83</v>
      </c>
      <c r="K12" s="9">
        <v>3</v>
      </c>
      <c r="L12" s="9">
        <f t="shared" ref="L12:L17" si="8">ROUNDUP(I12/K12,0)</f>
        <v>20</v>
      </c>
      <c r="M12" s="9">
        <v>20</v>
      </c>
      <c r="N12" s="9">
        <f t="shared" ref="N12:N14" si="9">ROUNDDOWN(L12/M12,0)</f>
        <v>1</v>
      </c>
      <c r="O12" s="9">
        <f t="shared" ref="O12:O14" si="10">L12-M12*N12</f>
        <v>0</v>
      </c>
      <c r="P12" s="9">
        <f t="shared" ref="P12:P17" si="11">I12-(L12-1)*K12</f>
        <v>3</v>
      </c>
      <c r="Q12" s="9" t="s">
        <v>29</v>
      </c>
      <c r="R12" s="9" t="s">
        <v>30</v>
      </c>
      <c r="S12" s="19">
        <f t="shared" si="7"/>
        <v>504.8</v>
      </c>
      <c r="T12" s="5"/>
    </row>
    <row r="13" s="6" customFormat="1" ht="15.75" spans="1:20">
      <c r="A13" s="20"/>
      <c r="B13" s="9">
        <v>10</v>
      </c>
      <c r="C13" s="9" t="s">
        <v>41</v>
      </c>
      <c r="D13" s="9" t="s">
        <v>42</v>
      </c>
      <c r="E13" s="14" t="s">
        <v>24</v>
      </c>
      <c r="F13" s="14" t="s">
        <v>43</v>
      </c>
      <c r="G13" s="14" t="s">
        <v>44</v>
      </c>
      <c r="H13" s="15" t="s">
        <v>45</v>
      </c>
      <c r="I13" s="16">
        <v>58</v>
      </c>
      <c r="J13" s="17">
        <v>6.83</v>
      </c>
      <c r="K13" s="9">
        <v>3</v>
      </c>
      <c r="L13" s="9">
        <f t="shared" si="8"/>
        <v>20</v>
      </c>
      <c r="M13" s="9">
        <v>20</v>
      </c>
      <c r="N13" s="9">
        <f t="shared" si="9"/>
        <v>1</v>
      </c>
      <c r="O13" s="9">
        <f t="shared" si="10"/>
        <v>0</v>
      </c>
      <c r="P13" s="9">
        <f t="shared" si="11"/>
        <v>1</v>
      </c>
      <c r="Q13" s="9" t="s">
        <v>29</v>
      </c>
      <c r="R13" s="9" t="s">
        <v>30</v>
      </c>
      <c r="S13" s="19">
        <f t="shared" si="7"/>
        <v>491.14</v>
      </c>
      <c r="T13" s="5"/>
    </row>
    <row r="14" s="6" customFormat="1" ht="15.75" spans="1:20">
      <c r="A14" s="20"/>
      <c r="B14" s="13">
        <v>11</v>
      </c>
      <c r="C14" s="9" t="s">
        <v>66</v>
      </c>
      <c r="D14" s="25" t="s">
        <v>67</v>
      </c>
      <c r="E14" s="14" t="s">
        <v>68</v>
      </c>
      <c r="F14" s="26" t="s">
        <v>69</v>
      </c>
      <c r="G14" s="26" t="s">
        <v>70</v>
      </c>
      <c r="H14" s="27" t="s">
        <v>71</v>
      </c>
      <c r="I14" s="16">
        <v>78</v>
      </c>
      <c r="J14" s="17">
        <v>1.98</v>
      </c>
      <c r="K14" s="9" t="s">
        <v>28</v>
      </c>
      <c r="L14" s="13">
        <v>20</v>
      </c>
      <c r="M14" s="9">
        <v>20</v>
      </c>
      <c r="N14" s="13">
        <f t="shared" si="9"/>
        <v>1</v>
      </c>
      <c r="O14" s="28">
        <f t="shared" si="10"/>
        <v>0</v>
      </c>
      <c r="P14" s="9" t="s">
        <v>28</v>
      </c>
      <c r="Q14" s="9" t="s">
        <v>29</v>
      </c>
      <c r="R14" s="13" t="s">
        <v>30</v>
      </c>
      <c r="S14" s="29">
        <f>I14*J14+I15*J15+L14*2+N14*55</f>
        <v>552.01</v>
      </c>
      <c r="T14" s="30"/>
    </row>
    <row r="15" s="6" customFormat="1" ht="15.75" spans="1:20">
      <c r="A15" s="20"/>
      <c r="B15" s="22"/>
      <c r="C15" s="9" t="s">
        <v>72</v>
      </c>
      <c r="D15" s="25" t="s">
        <v>73</v>
      </c>
      <c r="E15" s="14" t="s">
        <v>68</v>
      </c>
      <c r="F15" s="31"/>
      <c r="G15" s="31"/>
      <c r="H15" s="32"/>
      <c r="I15" s="16">
        <v>79</v>
      </c>
      <c r="J15" s="17">
        <v>3.83</v>
      </c>
      <c r="K15" s="9" t="s">
        <v>28</v>
      </c>
      <c r="L15" s="22"/>
      <c r="M15" s="9">
        <v>20</v>
      </c>
      <c r="N15" s="22"/>
      <c r="O15" s="33"/>
      <c r="P15" s="9" t="s">
        <v>28</v>
      </c>
      <c r="Q15" s="9" t="s">
        <v>29</v>
      </c>
      <c r="R15" s="22"/>
      <c r="S15" s="34"/>
      <c r="T15" s="30"/>
    </row>
    <row r="16" s="6" customFormat="1" ht="15.75" spans="1:20">
      <c r="A16" s="20"/>
      <c r="B16" s="13">
        <v>12</v>
      </c>
      <c r="C16" s="9" t="s">
        <v>56</v>
      </c>
      <c r="D16" s="9" t="s">
        <v>57</v>
      </c>
      <c r="E16" s="14" t="s">
        <v>24</v>
      </c>
      <c r="F16" s="14" t="s">
        <v>58</v>
      </c>
      <c r="G16" s="14" t="s">
        <v>59</v>
      </c>
      <c r="H16" s="15" t="s">
        <v>60</v>
      </c>
      <c r="I16" s="16">
        <v>9</v>
      </c>
      <c r="J16" s="17">
        <v>2.95</v>
      </c>
      <c r="K16" s="9">
        <v>4</v>
      </c>
      <c r="L16" s="9">
        <f t="shared" si="8"/>
        <v>3</v>
      </c>
      <c r="M16" s="9">
        <v>20</v>
      </c>
      <c r="N16" s="9">
        <f t="shared" ref="N16:N18" si="12">ROUNDDOWN(L16/M16,0)</f>
        <v>0</v>
      </c>
      <c r="O16" s="35">
        <f t="shared" ref="O16:O18" si="13">L16-M16*N16</f>
        <v>3</v>
      </c>
      <c r="P16" s="9">
        <f t="shared" si="11"/>
        <v>1</v>
      </c>
      <c r="Q16" s="9" t="s">
        <v>29</v>
      </c>
      <c r="R16" s="13" t="s">
        <v>30</v>
      </c>
      <c r="S16" s="19">
        <f>I16*J16+L16*2+N16*55+55</f>
        <v>87.55</v>
      </c>
      <c r="T16" s="30"/>
    </row>
    <row r="17" s="6" customFormat="1" ht="15.75" spans="1:20">
      <c r="A17" s="20"/>
      <c r="B17" s="20"/>
      <c r="C17" s="9" t="s">
        <v>61</v>
      </c>
      <c r="D17" s="9" t="s">
        <v>62</v>
      </c>
      <c r="E17" s="14" t="s">
        <v>24</v>
      </c>
      <c r="F17" s="14" t="s">
        <v>63</v>
      </c>
      <c r="G17" s="14" t="s">
        <v>64</v>
      </c>
      <c r="H17" s="15" t="s">
        <v>65</v>
      </c>
      <c r="I17" s="16">
        <v>9</v>
      </c>
      <c r="J17" s="17">
        <v>3.67</v>
      </c>
      <c r="K17" s="9">
        <v>6</v>
      </c>
      <c r="L17" s="9">
        <f t="shared" si="8"/>
        <v>2</v>
      </c>
      <c r="M17" s="9">
        <v>20</v>
      </c>
      <c r="N17" s="9">
        <f t="shared" si="12"/>
        <v>0</v>
      </c>
      <c r="O17" s="35">
        <f t="shared" si="13"/>
        <v>2</v>
      </c>
      <c r="P17" s="9">
        <f t="shared" si="11"/>
        <v>3</v>
      </c>
      <c r="Q17" s="9" t="s">
        <v>29</v>
      </c>
      <c r="R17" s="20"/>
      <c r="S17" s="19">
        <f t="shared" si="7"/>
        <v>37.03</v>
      </c>
      <c r="T17" s="30"/>
    </row>
    <row r="18" s="6" customFormat="1" ht="15.75" spans="1:20">
      <c r="A18" s="20"/>
      <c r="B18" s="20"/>
      <c r="C18" s="9" t="s">
        <v>66</v>
      </c>
      <c r="D18" s="25" t="s">
        <v>67</v>
      </c>
      <c r="E18" s="14" t="s">
        <v>68</v>
      </c>
      <c r="F18" s="14" t="s">
        <v>69</v>
      </c>
      <c r="G18" s="14" t="s">
        <v>70</v>
      </c>
      <c r="H18" s="15" t="s">
        <v>71</v>
      </c>
      <c r="I18" s="16">
        <v>12</v>
      </c>
      <c r="J18" s="17">
        <v>1.98</v>
      </c>
      <c r="K18" s="9" t="s">
        <v>28</v>
      </c>
      <c r="L18" s="13">
        <v>3</v>
      </c>
      <c r="M18" s="9">
        <v>20</v>
      </c>
      <c r="N18" s="13">
        <f t="shared" si="12"/>
        <v>0</v>
      </c>
      <c r="O18" s="28">
        <f t="shared" si="13"/>
        <v>3</v>
      </c>
      <c r="P18" s="9" t="s">
        <v>28</v>
      </c>
      <c r="Q18" s="9" t="s">
        <v>29</v>
      </c>
      <c r="R18" s="20"/>
      <c r="S18" s="29">
        <f>I18*J18+I19*J19+L18*2+N18*55</f>
        <v>75.72</v>
      </c>
      <c r="T18" s="30"/>
    </row>
    <row r="19" s="6" customFormat="1" ht="15.75" spans="1:20">
      <c r="A19" s="20"/>
      <c r="B19" s="20"/>
      <c r="C19" s="9" t="s">
        <v>72</v>
      </c>
      <c r="D19" s="25" t="s">
        <v>73</v>
      </c>
      <c r="E19" s="14" t="s">
        <v>68</v>
      </c>
      <c r="F19" s="14"/>
      <c r="G19" s="14"/>
      <c r="H19" s="15"/>
      <c r="I19" s="16">
        <v>12</v>
      </c>
      <c r="J19" s="17">
        <v>3.83</v>
      </c>
      <c r="K19" s="9" t="s">
        <v>28</v>
      </c>
      <c r="L19" s="22"/>
      <c r="M19" s="9">
        <v>20</v>
      </c>
      <c r="N19" s="22"/>
      <c r="O19" s="33"/>
      <c r="P19" s="9" t="s">
        <v>28</v>
      </c>
      <c r="Q19" s="9" t="s">
        <v>29</v>
      </c>
      <c r="R19" s="20"/>
      <c r="S19" s="34"/>
      <c r="T19" s="30"/>
    </row>
    <row r="20" s="6" customFormat="1" ht="15.75" spans="1:20">
      <c r="A20" s="20"/>
      <c r="B20" s="20"/>
      <c r="C20" s="9" t="s">
        <v>74</v>
      </c>
      <c r="D20" s="9" t="s">
        <v>75</v>
      </c>
      <c r="E20" s="14" t="s">
        <v>68</v>
      </c>
      <c r="F20" s="14"/>
      <c r="G20" s="14"/>
      <c r="H20" s="15"/>
      <c r="I20" s="16">
        <v>4</v>
      </c>
      <c r="J20" s="17">
        <v>5.69</v>
      </c>
      <c r="K20" s="9" t="s">
        <v>28</v>
      </c>
      <c r="L20" s="9">
        <v>1</v>
      </c>
      <c r="M20" s="9">
        <v>20</v>
      </c>
      <c r="N20" s="9">
        <f>ROUNDDOWN(L20/M20,0)</f>
        <v>0</v>
      </c>
      <c r="O20" s="35">
        <f t="shared" ref="O20:O23" si="14">L20-M20*N20</f>
        <v>1</v>
      </c>
      <c r="P20" s="9" t="s">
        <v>28</v>
      </c>
      <c r="Q20" s="9" t="s">
        <v>29</v>
      </c>
      <c r="R20" s="20"/>
      <c r="S20" s="19">
        <f t="shared" ref="S20:S23" si="15">I20*J20+L20*2+N20*55</f>
        <v>24.76</v>
      </c>
      <c r="T20" s="30"/>
    </row>
    <row r="21" s="6" customFormat="1" ht="15.75" spans="1:20">
      <c r="A21" s="20"/>
      <c r="B21" s="20"/>
      <c r="C21" s="9" t="s">
        <v>76</v>
      </c>
      <c r="D21" s="9" t="s">
        <v>77</v>
      </c>
      <c r="E21" s="14" t="s">
        <v>68</v>
      </c>
      <c r="F21" s="14"/>
      <c r="G21" s="14"/>
      <c r="H21" s="15"/>
      <c r="I21" s="16">
        <v>3</v>
      </c>
      <c r="J21" s="17">
        <v>7.53</v>
      </c>
      <c r="K21" s="9" t="s">
        <v>28</v>
      </c>
      <c r="L21" s="9">
        <v>1</v>
      </c>
      <c r="M21" s="9">
        <v>20</v>
      </c>
      <c r="N21" s="9">
        <f t="shared" ref="N20:N23" si="16">ROUNDDOWN(L21/M21,0)</f>
        <v>0</v>
      </c>
      <c r="O21" s="35">
        <f t="shared" si="14"/>
        <v>1</v>
      </c>
      <c r="P21" s="9" t="s">
        <v>28</v>
      </c>
      <c r="Q21" s="9" t="s">
        <v>29</v>
      </c>
      <c r="R21" s="20"/>
      <c r="S21" s="19">
        <f t="shared" si="15"/>
        <v>24.59</v>
      </c>
      <c r="T21" s="30"/>
    </row>
    <row r="22" s="6" customFormat="1" ht="15.75" spans="1:20">
      <c r="A22" s="20"/>
      <c r="B22" s="22"/>
      <c r="C22" s="9" t="s">
        <v>78</v>
      </c>
      <c r="D22" s="9" t="s">
        <v>79</v>
      </c>
      <c r="E22" s="14" t="s">
        <v>68</v>
      </c>
      <c r="F22" s="14"/>
      <c r="G22" s="14"/>
      <c r="H22" s="15"/>
      <c r="I22" s="16">
        <v>1</v>
      </c>
      <c r="J22" s="17">
        <v>9.37</v>
      </c>
      <c r="K22" s="9" t="s">
        <v>28</v>
      </c>
      <c r="L22" s="9">
        <v>1</v>
      </c>
      <c r="M22" s="9">
        <v>20</v>
      </c>
      <c r="N22" s="9">
        <f t="shared" si="16"/>
        <v>0</v>
      </c>
      <c r="O22" s="35">
        <f t="shared" si="14"/>
        <v>1</v>
      </c>
      <c r="P22" s="9" t="s">
        <v>28</v>
      </c>
      <c r="Q22" s="9" t="s">
        <v>29</v>
      </c>
      <c r="R22" s="22"/>
      <c r="S22" s="19">
        <f t="shared" si="15"/>
        <v>11.37</v>
      </c>
      <c r="T22" s="30"/>
    </row>
    <row r="23" s="6" customFormat="1" ht="15.75" spans="1:20">
      <c r="A23" s="22"/>
      <c r="B23" s="9">
        <v>13</v>
      </c>
      <c r="C23" s="9" t="s">
        <v>74</v>
      </c>
      <c r="D23" s="9" t="s">
        <v>75</v>
      </c>
      <c r="E23" s="14" t="s">
        <v>68</v>
      </c>
      <c r="F23" s="14" t="s">
        <v>69</v>
      </c>
      <c r="G23" s="14" t="s">
        <v>70</v>
      </c>
      <c r="H23" s="15" t="s">
        <v>71</v>
      </c>
      <c r="I23" s="16">
        <v>59</v>
      </c>
      <c r="J23" s="17">
        <v>5.69</v>
      </c>
      <c r="K23" s="9" t="s">
        <v>28</v>
      </c>
      <c r="L23" s="9">
        <v>20</v>
      </c>
      <c r="M23" s="9">
        <v>20</v>
      </c>
      <c r="N23" s="9">
        <f t="shared" si="16"/>
        <v>1</v>
      </c>
      <c r="O23" s="35">
        <f t="shared" si="14"/>
        <v>0</v>
      </c>
      <c r="P23" s="9" t="s">
        <v>28</v>
      </c>
      <c r="Q23" s="9" t="s">
        <v>29</v>
      </c>
      <c r="R23" s="9" t="s">
        <v>30</v>
      </c>
      <c r="S23" s="19">
        <f t="shared" si="15"/>
        <v>430.71</v>
      </c>
      <c r="T23" s="30"/>
    </row>
    <row r="25" s="5" customFormat="1" ht="31.5" spans="1:20">
      <c r="A25" s="9" t="s">
        <v>1</v>
      </c>
      <c r="B25" s="9" t="s">
        <v>2</v>
      </c>
      <c r="C25" s="9" t="s">
        <v>3</v>
      </c>
      <c r="D25" s="9" t="s">
        <v>4</v>
      </c>
      <c r="E25" s="9" t="s">
        <v>5</v>
      </c>
      <c r="F25" s="9" t="s">
        <v>6</v>
      </c>
      <c r="G25" s="9" t="s">
        <v>7</v>
      </c>
      <c r="H25" s="9" t="s">
        <v>8</v>
      </c>
      <c r="I25" s="9" t="s">
        <v>9</v>
      </c>
      <c r="J25" s="10" t="s">
        <v>10</v>
      </c>
      <c r="K25" s="10" t="s">
        <v>11</v>
      </c>
      <c r="L25" s="10" t="s">
        <v>12</v>
      </c>
      <c r="M25" s="10" t="s">
        <v>13</v>
      </c>
      <c r="N25" s="10" t="s">
        <v>14</v>
      </c>
      <c r="O25" s="11" t="s">
        <v>15</v>
      </c>
      <c r="P25" s="10" t="s">
        <v>16</v>
      </c>
      <c r="Q25" s="10" t="s">
        <v>17</v>
      </c>
      <c r="R25" s="10" t="s">
        <v>18</v>
      </c>
      <c r="S25" s="12" t="s">
        <v>19</v>
      </c>
      <c r="T25" s="11" t="s">
        <v>20</v>
      </c>
    </row>
    <row r="26" s="6" customFormat="1" ht="15.75" spans="1:20">
      <c r="A26" s="13" t="s">
        <v>80</v>
      </c>
      <c r="B26" s="9">
        <v>14</v>
      </c>
      <c r="C26" s="9" t="s">
        <v>22</v>
      </c>
      <c r="D26" s="9" t="s">
        <v>23</v>
      </c>
      <c r="E26" s="14" t="s">
        <v>24</v>
      </c>
      <c r="F26" s="14" t="s">
        <v>25</v>
      </c>
      <c r="G26" s="14" t="s">
        <v>26</v>
      </c>
      <c r="H26" s="15" t="s">
        <v>27</v>
      </c>
      <c r="I26" s="16">
        <v>40</v>
      </c>
      <c r="J26" s="17">
        <v>7.35</v>
      </c>
      <c r="K26" s="9">
        <v>2</v>
      </c>
      <c r="L26" s="9">
        <f t="shared" ref="L26:L37" si="17">ROUNDUP(I26/K26,0)</f>
        <v>20</v>
      </c>
      <c r="M26" s="9">
        <v>20</v>
      </c>
      <c r="N26" s="9">
        <f t="shared" ref="N26:N38" si="18">ROUNDDOWN(L26/M26,0)</f>
        <v>1</v>
      </c>
      <c r="O26" s="36">
        <f t="shared" ref="O26:O38" si="19">L26-M26*N26</f>
        <v>0</v>
      </c>
      <c r="P26" s="9">
        <f t="shared" ref="P26:P34" si="20">I26-(L26-1)*K26</f>
        <v>2</v>
      </c>
      <c r="Q26" s="9" t="s">
        <v>29</v>
      </c>
      <c r="R26" s="9" t="s">
        <v>30</v>
      </c>
      <c r="S26" s="19">
        <f t="shared" ref="S26:S37" si="21">I26*J26+L26*2+N26*55</f>
        <v>389</v>
      </c>
      <c r="T26" s="37"/>
    </row>
    <row r="27" s="6" customFormat="1" ht="15.75" spans="1:20">
      <c r="A27" s="20"/>
      <c r="B27" s="9">
        <v>15</v>
      </c>
      <c r="C27" s="9" t="s">
        <v>22</v>
      </c>
      <c r="D27" s="9" t="s">
        <v>23</v>
      </c>
      <c r="E27" s="14" t="s">
        <v>24</v>
      </c>
      <c r="F27" s="14" t="s">
        <v>25</v>
      </c>
      <c r="G27" s="14" t="s">
        <v>26</v>
      </c>
      <c r="H27" s="15" t="s">
        <v>27</v>
      </c>
      <c r="I27" s="16">
        <v>40</v>
      </c>
      <c r="J27" s="17">
        <v>7.35</v>
      </c>
      <c r="K27" s="9">
        <v>2</v>
      </c>
      <c r="L27" s="9">
        <f t="shared" si="17"/>
        <v>20</v>
      </c>
      <c r="M27" s="9">
        <v>20</v>
      </c>
      <c r="N27" s="9">
        <f t="shared" si="18"/>
        <v>1</v>
      </c>
      <c r="O27" s="36">
        <f t="shared" si="19"/>
        <v>0</v>
      </c>
      <c r="P27" s="9">
        <f t="shared" si="20"/>
        <v>2</v>
      </c>
      <c r="Q27" s="9" t="s">
        <v>29</v>
      </c>
      <c r="R27" s="9" t="s">
        <v>30</v>
      </c>
      <c r="S27" s="19">
        <f t="shared" si="21"/>
        <v>389</v>
      </c>
      <c r="T27" s="37"/>
    </row>
    <row r="28" s="6" customFormat="1" ht="15.75" spans="1:20">
      <c r="A28" s="20"/>
      <c r="B28" s="9">
        <v>16</v>
      </c>
      <c r="C28" s="9" t="s">
        <v>22</v>
      </c>
      <c r="D28" s="9" t="s">
        <v>23</v>
      </c>
      <c r="E28" s="14" t="s">
        <v>24</v>
      </c>
      <c r="F28" s="14" t="s">
        <v>25</v>
      </c>
      <c r="G28" s="14" t="s">
        <v>26</v>
      </c>
      <c r="H28" s="15" t="s">
        <v>27</v>
      </c>
      <c r="I28" s="16">
        <v>40</v>
      </c>
      <c r="J28" s="17">
        <v>7.35</v>
      </c>
      <c r="K28" s="9">
        <v>2</v>
      </c>
      <c r="L28" s="9">
        <f t="shared" si="17"/>
        <v>20</v>
      </c>
      <c r="M28" s="9">
        <v>20</v>
      </c>
      <c r="N28" s="9">
        <f t="shared" si="18"/>
        <v>1</v>
      </c>
      <c r="O28" s="36">
        <f t="shared" si="19"/>
        <v>0</v>
      </c>
      <c r="P28" s="9">
        <f t="shared" si="20"/>
        <v>2</v>
      </c>
      <c r="Q28" s="9" t="s">
        <v>29</v>
      </c>
      <c r="R28" s="9" t="s">
        <v>30</v>
      </c>
      <c r="S28" s="19">
        <f t="shared" si="21"/>
        <v>389</v>
      </c>
      <c r="T28" s="37"/>
    </row>
    <row r="29" s="6" customFormat="1" ht="15.75" spans="1:20">
      <c r="A29" s="20"/>
      <c r="B29" s="9">
        <v>17</v>
      </c>
      <c r="C29" s="9" t="s">
        <v>36</v>
      </c>
      <c r="D29" s="9" t="s">
        <v>37</v>
      </c>
      <c r="E29" s="14" t="s">
        <v>24</v>
      </c>
      <c r="F29" s="14" t="s">
        <v>38</v>
      </c>
      <c r="G29" s="14" t="s">
        <v>39</v>
      </c>
      <c r="H29" s="15" t="s">
        <v>40</v>
      </c>
      <c r="I29" s="16">
        <v>40</v>
      </c>
      <c r="J29" s="17">
        <v>6.34</v>
      </c>
      <c r="K29" s="9">
        <v>2</v>
      </c>
      <c r="L29" s="9">
        <f t="shared" si="17"/>
        <v>20</v>
      </c>
      <c r="M29" s="9">
        <v>20</v>
      </c>
      <c r="N29" s="9">
        <f t="shared" si="18"/>
        <v>1</v>
      </c>
      <c r="O29" s="36">
        <f t="shared" si="19"/>
        <v>0</v>
      </c>
      <c r="P29" s="9">
        <f t="shared" si="20"/>
        <v>2</v>
      </c>
      <c r="Q29" s="9" t="s">
        <v>29</v>
      </c>
      <c r="R29" s="9" t="s">
        <v>30</v>
      </c>
      <c r="S29" s="19">
        <f t="shared" si="21"/>
        <v>348.6</v>
      </c>
      <c r="T29" s="37"/>
    </row>
    <row r="30" s="6" customFormat="1" ht="15.75" spans="1:20">
      <c r="A30" s="20"/>
      <c r="B30" s="9">
        <v>18</v>
      </c>
      <c r="C30" s="9" t="s">
        <v>36</v>
      </c>
      <c r="D30" s="9" t="s">
        <v>37</v>
      </c>
      <c r="E30" s="14" t="s">
        <v>24</v>
      </c>
      <c r="F30" s="14" t="s">
        <v>38</v>
      </c>
      <c r="G30" s="14" t="s">
        <v>39</v>
      </c>
      <c r="H30" s="15" t="s">
        <v>40</v>
      </c>
      <c r="I30" s="16">
        <v>40</v>
      </c>
      <c r="J30" s="17">
        <v>6.34</v>
      </c>
      <c r="K30" s="9">
        <v>2</v>
      </c>
      <c r="L30" s="9">
        <f t="shared" si="17"/>
        <v>20</v>
      </c>
      <c r="M30" s="9">
        <v>20</v>
      </c>
      <c r="N30" s="9">
        <f t="shared" si="18"/>
        <v>1</v>
      </c>
      <c r="O30" s="36">
        <f t="shared" si="19"/>
        <v>0</v>
      </c>
      <c r="P30" s="9">
        <f t="shared" si="20"/>
        <v>2</v>
      </c>
      <c r="Q30" s="9" t="s">
        <v>29</v>
      </c>
      <c r="R30" s="9" t="s">
        <v>30</v>
      </c>
      <c r="S30" s="19">
        <f t="shared" si="21"/>
        <v>348.6</v>
      </c>
      <c r="T30" s="37"/>
    </row>
    <row r="31" s="6" customFormat="1" ht="15.75" spans="1:20">
      <c r="A31" s="20"/>
      <c r="B31" s="13">
        <v>19</v>
      </c>
      <c r="C31" s="9" t="s">
        <v>22</v>
      </c>
      <c r="D31" s="9" t="s">
        <v>23</v>
      </c>
      <c r="E31" s="14" t="s">
        <v>24</v>
      </c>
      <c r="F31" s="14" t="s">
        <v>25</v>
      </c>
      <c r="G31" s="14" t="s">
        <v>26</v>
      </c>
      <c r="H31" s="15" t="s">
        <v>27</v>
      </c>
      <c r="I31" s="16">
        <v>1</v>
      </c>
      <c r="J31" s="17">
        <v>7.35</v>
      </c>
      <c r="K31" s="9">
        <v>2</v>
      </c>
      <c r="L31" s="9">
        <f t="shared" si="17"/>
        <v>1</v>
      </c>
      <c r="M31" s="9">
        <v>20</v>
      </c>
      <c r="N31" s="9">
        <f t="shared" si="18"/>
        <v>0</v>
      </c>
      <c r="O31" s="36">
        <f t="shared" si="19"/>
        <v>1</v>
      </c>
      <c r="P31" s="9">
        <f t="shared" si="20"/>
        <v>1</v>
      </c>
      <c r="Q31" s="9" t="s">
        <v>29</v>
      </c>
      <c r="R31" s="13" t="s">
        <v>30</v>
      </c>
      <c r="S31" s="19">
        <f>I31*J31+L31*2+N31*55+55</f>
        <v>64.35</v>
      </c>
      <c r="T31" s="37"/>
    </row>
    <row r="32" s="6" customFormat="1" ht="15.75" spans="1:20">
      <c r="A32" s="20"/>
      <c r="B32" s="22"/>
      <c r="C32" s="9" t="s">
        <v>36</v>
      </c>
      <c r="D32" s="9" t="s">
        <v>37</v>
      </c>
      <c r="E32" s="14" t="s">
        <v>24</v>
      </c>
      <c r="F32" s="14" t="s">
        <v>38</v>
      </c>
      <c r="G32" s="14" t="s">
        <v>39</v>
      </c>
      <c r="H32" s="15" t="s">
        <v>40</v>
      </c>
      <c r="I32" s="16">
        <v>37</v>
      </c>
      <c r="J32" s="17">
        <v>6.34</v>
      </c>
      <c r="K32" s="9">
        <v>2</v>
      </c>
      <c r="L32" s="9">
        <f t="shared" si="17"/>
        <v>19</v>
      </c>
      <c r="M32" s="9">
        <v>20</v>
      </c>
      <c r="N32" s="9">
        <f t="shared" si="18"/>
        <v>0</v>
      </c>
      <c r="O32" s="36">
        <f t="shared" si="19"/>
        <v>19</v>
      </c>
      <c r="P32" s="9">
        <f t="shared" si="20"/>
        <v>1</v>
      </c>
      <c r="Q32" s="9" t="s">
        <v>29</v>
      </c>
      <c r="R32" s="22"/>
      <c r="S32" s="19">
        <f t="shared" si="21"/>
        <v>272.58</v>
      </c>
      <c r="T32" s="37"/>
    </row>
    <row r="33" s="6" customFormat="1" ht="15.75" spans="1:20">
      <c r="A33" s="20"/>
      <c r="B33" s="9">
        <v>20</v>
      </c>
      <c r="C33" s="9" t="s">
        <v>31</v>
      </c>
      <c r="D33" s="9" t="s">
        <v>32</v>
      </c>
      <c r="E33" s="14" t="s">
        <v>24</v>
      </c>
      <c r="F33" s="14" t="s">
        <v>33</v>
      </c>
      <c r="G33" s="14" t="s">
        <v>34</v>
      </c>
      <c r="H33" s="15" t="s">
        <v>35</v>
      </c>
      <c r="I33" s="16">
        <v>60</v>
      </c>
      <c r="J33" s="17">
        <v>5.83</v>
      </c>
      <c r="K33" s="9">
        <v>3</v>
      </c>
      <c r="L33" s="9">
        <f t="shared" si="17"/>
        <v>20</v>
      </c>
      <c r="M33" s="9">
        <v>20</v>
      </c>
      <c r="N33" s="9">
        <f t="shared" si="18"/>
        <v>1</v>
      </c>
      <c r="O33" s="38">
        <f t="shared" si="19"/>
        <v>0</v>
      </c>
      <c r="P33" s="9">
        <f t="shared" si="20"/>
        <v>3</v>
      </c>
      <c r="Q33" s="9" t="s">
        <v>29</v>
      </c>
      <c r="R33" s="9" t="s">
        <v>30</v>
      </c>
      <c r="S33" s="19">
        <f t="shared" si="21"/>
        <v>444.8</v>
      </c>
      <c r="T33" s="39"/>
    </row>
    <row r="34" s="6" customFormat="1" ht="15.75" spans="1:20">
      <c r="A34" s="20"/>
      <c r="B34" s="9">
        <v>21</v>
      </c>
      <c r="C34" s="9" t="s">
        <v>31</v>
      </c>
      <c r="D34" s="9" t="s">
        <v>32</v>
      </c>
      <c r="E34" s="14" t="s">
        <v>24</v>
      </c>
      <c r="F34" s="14" t="s">
        <v>33</v>
      </c>
      <c r="G34" s="14" t="s">
        <v>34</v>
      </c>
      <c r="H34" s="15" t="s">
        <v>35</v>
      </c>
      <c r="I34" s="16">
        <v>60</v>
      </c>
      <c r="J34" s="17">
        <v>5.83</v>
      </c>
      <c r="K34" s="9">
        <v>3</v>
      </c>
      <c r="L34" s="9">
        <f t="shared" si="17"/>
        <v>20</v>
      </c>
      <c r="M34" s="9">
        <v>20</v>
      </c>
      <c r="N34" s="9">
        <f t="shared" si="18"/>
        <v>1</v>
      </c>
      <c r="O34" s="38">
        <f t="shared" si="19"/>
        <v>0</v>
      </c>
      <c r="P34" s="9">
        <f t="shared" si="20"/>
        <v>3</v>
      </c>
      <c r="Q34" s="9" t="s">
        <v>29</v>
      </c>
      <c r="R34" s="9" t="s">
        <v>30</v>
      </c>
      <c r="S34" s="19">
        <f t="shared" si="21"/>
        <v>444.8</v>
      </c>
      <c r="T34" s="39"/>
    </row>
    <row r="35" s="6" customFormat="1" ht="15.75" spans="1:20">
      <c r="A35" s="20"/>
      <c r="B35" s="9">
        <v>22</v>
      </c>
      <c r="C35" s="9" t="s">
        <v>41</v>
      </c>
      <c r="D35" s="9" t="s">
        <v>42</v>
      </c>
      <c r="E35" s="14" t="s">
        <v>24</v>
      </c>
      <c r="F35" s="14" t="s">
        <v>43</v>
      </c>
      <c r="G35" s="14" t="s">
        <v>44</v>
      </c>
      <c r="H35" s="15" t="s">
        <v>45</v>
      </c>
      <c r="I35" s="16">
        <v>60</v>
      </c>
      <c r="J35" s="17">
        <v>6.83</v>
      </c>
      <c r="K35" s="9">
        <v>3</v>
      </c>
      <c r="L35" s="9">
        <f t="shared" si="17"/>
        <v>20</v>
      </c>
      <c r="M35" s="9">
        <v>20</v>
      </c>
      <c r="N35" s="9">
        <f t="shared" si="18"/>
        <v>1</v>
      </c>
      <c r="O35" s="38">
        <f t="shared" si="19"/>
        <v>0</v>
      </c>
      <c r="P35" s="9" t="s">
        <v>28</v>
      </c>
      <c r="Q35" s="9" t="s">
        <v>29</v>
      </c>
      <c r="R35" s="9" t="s">
        <v>30</v>
      </c>
      <c r="S35" s="19">
        <f t="shared" si="21"/>
        <v>504.8</v>
      </c>
      <c r="T35" s="39"/>
    </row>
    <row r="36" s="6" customFormat="1" ht="15.75" spans="1:20">
      <c r="A36" s="20"/>
      <c r="B36" s="13">
        <v>23</v>
      </c>
      <c r="C36" s="9" t="s">
        <v>31</v>
      </c>
      <c r="D36" s="9" t="s">
        <v>32</v>
      </c>
      <c r="E36" s="14" t="s">
        <v>24</v>
      </c>
      <c r="F36" s="14" t="s">
        <v>33</v>
      </c>
      <c r="G36" s="14" t="s">
        <v>34</v>
      </c>
      <c r="H36" s="15" t="s">
        <v>35</v>
      </c>
      <c r="I36" s="16">
        <v>1</v>
      </c>
      <c r="J36" s="17">
        <v>5.83</v>
      </c>
      <c r="K36" s="9">
        <v>3</v>
      </c>
      <c r="L36" s="9">
        <f t="shared" si="17"/>
        <v>1</v>
      </c>
      <c r="M36" s="9">
        <v>20</v>
      </c>
      <c r="N36" s="9">
        <f t="shared" si="18"/>
        <v>0</v>
      </c>
      <c r="O36" s="38">
        <f t="shared" si="19"/>
        <v>1</v>
      </c>
      <c r="P36" s="9">
        <f>I36-(L36-1)*K36</f>
        <v>1</v>
      </c>
      <c r="Q36" s="9" t="s">
        <v>29</v>
      </c>
      <c r="R36" s="13" t="s">
        <v>30</v>
      </c>
      <c r="S36" s="19">
        <f>I36*J36+L36*2+N36*55+55</f>
        <v>62.83</v>
      </c>
      <c r="T36" s="39"/>
    </row>
    <row r="37" s="6" customFormat="1" ht="15.75" spans="1:20">
      <c r="A37" s="20"/>
      <c r="B37" s="22"/>
      <c r="C37" s="9" t="s">
        <v>41</v>
      </c>
      <c r="D37" s="9" t="s">
        <v>42</v>
      </c>
      <c r="E37" s="14" t="s">
        <v>24</v>
      </c>
      <c r="F37" s="14" t="s">
        <v>43</v>
      </c>
      <c r="G37" s="14" t="s">
        <v>44</v>
      </c>
      <c r="H37" s="15" t="s">
        <v>45</v>
      </c>
      <c r="I37" s="16">
        <v>57</v>
      </c>
      <c r="J37" s="17">
        <v>6.83</v>
      </c>
      <c r="K37" s="9">
        <v>3</v>
      </c>
      <c r="L37" s="9">
        <f t="shared" si="17"/>
        <v>19</v>
      </c>
      <c r="M37" s="9">
        <v>20</v>
      </c>
      <c r="N37" s="9">
        <f t="shared" si="18"/>
        <v>0</v>
      </c>
      <c r="O37" s="38">
        <f t="shared" si="19"/>
        <v>19</v>
      </c>
      <c r="P37" s="9" t="s">
        <v>28</v>
      </c>
      <c r="Q37" s="9" t="s">
        <v>29</v>
      </c>
      <c r="R37" s="22"/>
      <c r="S37" s="19">
        <f t="shared" si="21"/>
        <v>427.31</v>
      </c>
      <c r="T37" s="39"/>
    </row>
    <row r="38" s="6" customFormat="1" ht="15.75" spans="1:20">
      <c r="A38" s="20"/>
      <c r="B38" s="13">
        <v>24</v>
      </c>
      <c r="C38" s="9" t="s">
        <v>66</v>
      </c>
      <c r="D38" s="9" t="s">
        <v>67</v>
      </c>
      <c r="E38" s="14" t="s">
        <v>68</v>
      </c>
      <c r="F38" s="26" t="s">
        <v>69</v>
      </c>
      <c r="G38" s="26" t="s">
        <v>70</v>
      </c>
      <c r="H38" s="27" t="s">
        <v>71</v>
      </c>
      <c r="I38" s="16">
        <v>80</v>
      </c>
      <c r="J38" s="17">
        <v>1.98</v>
      </c>
      <c r="K38" s="9" t="s">
        <v>28</v>
      </c>
      <c r="L38" s="13">
        <v>20</v>
      </c>
      <c r="M38" s="9">
        <v>20</v>
      </c>
      <c r="N38" s="13">
        <f t="shared" si="18"/>
        <v>1</v>
      </c>
      <c r="O38" s="40">
        <f t="shared" si="19"/>
        <v>0</v>
      </c>
      <c r="P38" s="9" t="s">
        <v>28</v>
      </c>
      <c r="Q38" s="9" t="s">
        <v>29</v>
      </c>
      <c r="R38" s="13" t="s">
        <v>30</v>
      </c>
      <c r="S38" s="29">
        <f>I38*J38+L38*2+N38*55+I39*J39</f>
        <v>559.8</v>
      </c>
      <c r="T38" s="41"/>
    </row>
    <row r="39" s="6" customFormat="1" ht="15.75" spans="1:20">
      <c r="A39" s="20"/>
      <c r="B39" s="22"/>
      <c r="C39" s="9" t="s">
        <v>72</v>
      </c>
      <c r="D39" s="9" t="s">
        <v>73</v>
      </c>
      <c r="E39" s="14" t="s">
        <v>68</v>
      </c>
      <c r="F39" s="31"/>
      <c r="G39" s="31"/>
      <c r="H39" s="32"/>
      <c r="I39" s="16">
        <v>80</v>
      </c>
      <c r="J39" s="17">
        <v>3.83</v>
      </c>
      <c r="K39" s="9" t="s">
        <v>28</v>
      </c>
      <c r="L39" s="22"/>
      <c r="M39" s="9">
        <v>20</v>
      </c>
      <c r="N39" s="22"/>
      <c r="O39" s="42"/>
      <c r="P39" s="9" t="s">
        <v>28</v>
      </c>
      <c r="Q39" s="9" t="s">
        <v>29</v>
      </c>
      <c r="R39" s="22"/>
      <c r="S39" s="34"/>
      <c r="T39" s="41"/>
    </row>
    <row r="40" s="6" customFormat="1" ht="15.75" spans="1:20">
      <c r="A40" s="20"/>
      <c r="B40" s="9">
        <v>25</v>
      </c>
      <c r="C40" s="9" t="s">
        <v>74</v>
      </c>
      <c r="D40" s="9" t="s">
        <v>75</v>
      </c>
      <c r="E40" s="14" t="s">
        <v>68</v>
      </c>
      <c r="F40" s="14" t="s">
        <v>69</v>
      </c>
      <c r="G40" s="14" t="s">
        <v>70</v>
      </c>
      <c r="H40" s="43" t="s">
        <v>71</v>
      </c>
      <c r="I40" s="16">
        <v>52</v>
      </c>
      <c r="J40" s="17">
        <v>5.69</v>
      </c>
      <c r="K40" s="9" t="s">
        <v>28</v>
      </c>
      <c r="L40" s="9">
        <v>20</v>
      </c>
      <c r="M40" s="9">
        <v>20</v>
      </c>
      <c r="N40" s="9">
        <f t="shared" ref="N40:N43" si="22">ROUNDDOWN(L40/M40,0)</f>
        <v>1</v>
      </c>
      <c r="O40" s="44">
        <f t="shared" ref="O40:O43" si="23">L40-M40*N40</f>
        <v>0</v>
      </c>
      <c r="P40" s="9" t="s">
        <v>28</v>
      </c>
      <c r="Q40" s="9" t="s">
        <v>29</v>
      </c>
      <c r="R40" s="9" t="s">
        <v>30</v>
      </c>
      <c r="S40" s="19">
        <f t="shared" ref="S40:S42" si="24">I40*J40+L40*2+N40*55</f>
        <v>390.88</v>
      </c>
      <c r="T40" s="41"/>
    </row>
    <row r="41" s="6" customFormat="1" ht="15.75" spans="1:20">
      <c r="A41" s="20"/>
      <c r="B41" s="13">
        <v>26</v>
      </c>
      <c r="C41" s="9" t="s">
        <v>56</v>
      </c>
      <c r="D41" s="9" t="s">
        <v>57</v>
      </c>
      <c r="E41" s="14" t="s">
        <v>24</v>
      </c>
      <c r="F41" s="14" t="s">
        <v>58</v>
      </c>
      <c r="G41" s="14" t="s">
        <v>59</v>
      </c>
      <c r="H41" s="15" t="s">
        <v>60</v>
      </c>
      <c r="I41" s="16">
        <v>4</v>
      </c>
      <c r="J41" s="17">
        <v>2.95</v>
      </c>
      <c r="K41" s="9">
        <v>4</v>
      </c>
      <c r="L41" s="9">
        <f>ROUNDUP(I41/K41,0)</f>
        <v>1</v>
      </c>
      <c r="M41" s="9">
        <v>20</v>
      </c>
      <c r="N41" s="9">
        <f t="shared" si="22"/>
        <v>0</v>
      </c>
      <c r="O41" s="44">
        <f t="shared" si="23"/>
        <v>1</v>
      </c>
      <c r="P41" s="9" t="s">
        <v>28</v>
      </c>
      <c r="Q41" s="9" t="s">
        <v>29</v>
      </c>
      <c r="R41" s="13" t="s">
        <v>30</v>
      </c>
      <c r="S41" s="19">
        <f>I41*J41+L41*2+N41*55+55</f>
        <v>68.8</v>
      </c>
      <c r="T41" s="41"/>
    </row>
    <row r="42" s="6" customFormat="1" ht="15.75" spans="1:20">
      <c r="A42" s="20"/>
      <c r="B42" s="20"/>
      <c r="C42" s="9" t="s">
        <v>61</v>
      </c>
      <c r="D42" s="9" t="s">
        <v>62</v>
      </c>
      <c r="E42" s="14" t="s">
        <v>24</v>
      </c>
      <c r="F42" s="14" t="s">
        <v>63</v>
      </c>
      <c r="G42" s="14" t="s">
        <v>64</v>
      </c>
      <c r="H42" s="15" t="s">
        <v>65</v>
      </c>
      <c r="I42" s="16">
        <v>4</v>
      </c>
      <c r="J42" s="17">
        <v>3.67</v>
      </c>
      <c r="K42" s="9">
        <v>6</v>
      </c>
      <c r="L42" s="9">
        <f>ROUNDUP(I42/K42,0)</f>
        <v>1</v>
      </c>
      <c r="M42" s="9">
        <v>20</v>
      </c>
      <c r="N42" s="9">
        <f t="shared" si="22"/>
        <v>0</v>
      </c>
      <c r="O42" s="44">
        <f t="shared" si="23"/>
        <v>1</v>
      </c>
      <c r="P42" s="9">
        <f>I42-(L42-1)*K42</f>
        <v>4</v>
      </c>
      <c r="Q42" s="9" t="s">
        <v>29</v>
      </c>
      <c r="R42" s="20"/>
      <c r="S42" s="19">
        <f t="shared" si="24"/>
        <v>16.68</v>
      </c>
      <c r="T42" s="41"/>
    </row>
    <row r="43" s="6" customFormat="1" ht="15.75" spans="1:20">
      <c r="A43" s="20"/>
      <c r="B43" s="20"/>
      <c r="C43" s="9" t="s">
        <v>66</v>
      </c>
      <c r="D43" s="9" t="s">
        <v>67</v>
      </c>
      <c r="E43" s="14" t="s">
        <v>68</v>
      </c>
      <c r="F43" s="14" t="s">
        <v>69</v>
      </c>
      <c r="G43" s="14" t="s">
        <v>70</v>
      </c>
      <c r="H43" s="15" t="s">
        <v>71</v>
      </c>
      <c r="I43" s="16">
        <v>12</v>
      </c>
      <c r="J43" s="17">
        <v>1.98</v>
      </c>
      <c r="K43" s="9" t="s">
        <v>28</v>
      </c>
      <c r="L43" s="13">
        <v>3</v>
      </c>
      <c r="M43" s="9">
        <v>20</v>
      </c>
      <c r="N43" s="13">
        <f t="shared" si="22"/>
        <v>0</v>
      </c>
      <c r="O43" s="40">
        <f t="shared" si="23"/>
        <v>3</v>
      </c>
      <c r="P43" s="9" t="s">
        <v>28</v>
      </c>
      <c r="Q43" s="9" t="s">
        <v>29</v>
      </c>
      <c r="R43" s="20"/>
      <c r="S43" s="29">
        <f>I43*J43+L43*2+N43*55+I44*J44</f>
        <v>75.72</v>
      </c>
      <c r="T43" s="41"/>
    </row>
    <row r="44" s="6" customFormat="1" ht="15.75" spans="1:20">
      <c r="A44" s="20"/>
      <c r="B44" s="20"/>
      <c r="C44" s="9" t="s">
        <v>72</v>
      </c>
      <c r="D44" s="9" t="s">
        <v>73</v>
      </c>
      <c r="E44" s="14" t="s">
        <v>68</v>
      </c>
      <c r="F44" s="14"/>
      <c r="G44" s="14"/>
      <c r="H44" s="15"/>
      <c r="I44" s="16">
        <v>12</v>
      </c>
      <c r="J44" s="17">
        <v>3.83</v>
      </c>
      <c r="K44" s="9" t="s">
        <v>28</v>
      </c>
      <c r="L44" s="22"/>
      <c r="M44" s="9">
        <v>20</v>
      </c>
      <c r="N44" s="22"/>
      <c r="O44" s="42"/>
      <c r="P44" s="9" t="s">
        <v>28</v>
      </c>
      <c r="Q44" s="9" t="s">
        <v>29</v>
      </c>
      <c r="R44" s="20"/>
      <c r="S44" s="34"/>
      <c r="T44" s="41"/>
    </row>
    <row r="45" s="6" customFormat="1" ht="15.75" spans="1:20">
      <c r="A45" s="22"/>
      <c r="B45" s="22"/>
      <c r="C45" s="9" t="s">
        <v>74</v>
      </c>
      <c r="D45" s="9" t="s">
        <v>75</v>
      </c>
      <c r="E45" s="14" t="s">
        <v>68</v>
      </c>
      <c r="F45" s="14"/>
      <c r="G45" s="14"/>
      <c r="H45" s="15"/>
      <c r="I45" s="16">
        <v>6</v>
      </c>
      <c r="J45" s="17">
        <v>5.69</v>
      </c>
      <c r="K45" s="9" t="s">
        <v>28</v>
      </c>
      <c r="L45" s="9">
        <v>3</v>
      </c>
      <c r="M45" s="9">
        <v>20</v>
      </c>
      <c r="N45" s="9">
        <f t="shared" ref="N45:N61" si="25">ROUNDDOWN(L45/M45,0)</f>
        <v>0</v>
      </c>
      <c r="O45" s="44">
        <f t="shared" ref="O45:O61" si="26">L45-M45*N45</f>
        <v>3</v>
      </c>
      <c r="P45" s="9" t="s">
        <v>28</v>
      </c>
      <c r="Q45" s="9" t="s">
        <v>29</v>
      </c>
      <c r="R45" s="22"/>
      <c r="S45" s="19">
        <f>I45*J45+L45*2+N45*55</f>
        <v>40.14</v>
      </c>
      <c r="T45" s="41"/>
    </row>
    <row r="47" s="5" customFormat="1" ht="31.5" spans="1:20">
      <c r="A47" s="9" t="s">
        <v>1</v>
      </c>
      <c r="B47" s="9" t="s">
        <v>2</v>
      </c>
      <c r="C47" s="9" t="s">
        <v>3</v>
      </c>
      <c r="D47" s="9" t="s">
        <v>4</v>
      </c>
      <c r="E47" s="9" t="s">
        <v>5</v>
      </c>
      <c r="F47" s="9" t="s">
        <v>6</v>
      </c>
      <c r="G47" s="9" t="s">
        <v>7</v>
      </c>
      <c r="H47" s="9" t="s">
        <v>8</v>
      </c>
      <c r="I47" s="9" t="s">
        <v>9</v>
      </c>
      <c r="J47" s="10" t="s">
        <v>10</v>
      </c>
      <c r="K47" s="10" t="s">
        <v>11</v>
      </c>
      <c r="L47" s="10" t="s">
        <v>12</v>
      </c>
      <c r="M47" s="10" t="s">
        <v>13</v>
      </c>
      <c r="N47" s="10" t="s">
        <v>14</v>
      </c>
      <c r="O47" s="11" t="s">
        <v>15</v>
      </c>
      <c r="P47" s="10" t="s">
        <v>16</v>
      </c>
      <c r="Q47" s="10" t="s">
        <v>17</v>
      </c>
      <c r="R47" s="10" t="s">
        <v>18</v>
      </c>
      <c r="S47" s="12" t="s">
        <v>19</v>
      </c>
      <c r="T47" s="11" t="s">
        <v>20</v>
      </c>
    </row>
    <row r="48" s="6" customFormat="1" ht="15.75" spans="1:20">
      <c r="A48" s="13" t="s">
        <v>81</v>
      </c>
      <c r="B48" s="9">
        <v>27</v>
      </c>
      <c r="C48" s="9" t="s">
        <v>22</v>
      </c>
      <c r="D48" s="9" t="s">
        <v>23</v>
      </c>
      <c r="E48" s="14" t="s">
        <v>24</v>
      </c>
      <c r="F48" s="14" t="s">
        <v>25</v>
      </c>
      <c r="G48" s="14" t="s">
        <v>26</v>
      </c>
      <c r="H48" s="15" t="s">
        <v>27</v>
      </c>
      <c r="I48" s="16">
        <v>40</v>
      </c>
      <c r="J48" s="17">
        <v>7.35</v>
      </c>
      <c r="K48" s="9">
        <v>2</v>
      </c>
      <c r="L48" s="9">
        <f t="shared" ref="L48:L58" si="27">ROUNDUP(I48/K48,0)</f>
        <v>20</v>
      </c>
      <c r="M48" s="9">
        <v>20</v>
      </c>
      <c r="N48" s="9">
        <f t="shared" si="25"/>
        <v>1</v>
      </c>
      <c r="O48" s="45">
        <f t="shared" si="26"/>
        <v>0</v>
      </c>
      <c r="P48" s="9">
        <f t="shared" ref="P48:P57" si="28">I48-(L48-1)*K48</f>
        <v>2</v>
      </c>
      <c r="Q48" s="9" t="s">
        <v>29</v>
      </c>
      <c r="R48" s="9" t="s">
        <v>30</v>
      </c>
      <c r="S48" s="19">
        <f t="shared" ref="S45:S57" si="29">I48*J48+L48*2+N48*55</f>
        <v>389</v>
      </c>
      <c r="T48" s="46"/>
    </row>
    <row r="49" s="6" customFormat="1" ht="15.75" spans="1:20">
      <c r="A49" s="20"/>
      <c r="B49" s="9">
        <v>28</v>
      </c>
      <c r="C49" s="9" t="s">
        <v>22</v>
      </c>
      <c r="D49" s="9" t="s">
        <v>23</v>
      </c>
      <c r="E49" s="14" t="s">
        <v>24</v>
      </c>
      <c r="F49" s="14" t="s">
        <v>25</v>
      </c>
      <c r="G49" s="14" t="s">
        <v>26</v>
      </c>
      <c r="H49" s="15" t="s">
        <v>27</v>
      </c>
      <c r="I49" s="16">
        <v>40</v>
      </c>
      <c r="J49" s="17">
        <v>7.35</v>
      </c>
      <c r="K49" s="9">
        <v>2</v>
      </c>
      <c r="L49" s="9">
        <f t="shared" si="27"/>
        <v>20</v>
      </c>
      <c r="M49" s="9">
        <v>20</v>
      </c>
      <c r="N49" s="9">
        <f t="shared" si="25"/>
        <v>1</v>
      </c>
      <c r="O49" s="45">
        <f t="shared" si="26"/>
        <v>0</v>
      </c>
      <c r="P49" s="9">
        <f t="shared" si="28"/>
        <v>2</v>
      </c>
      <c r="Q49" s="9" t="s">
        <v>29</v>
      </c>
      <c r="R49" s="9" t="s">
        <v>30</v>
      </c>
      <c r="S49" s="19">
        <f t="shared" si="29"/>
        <v>389</v>
      </c>
      <c r="T49" s="46"/>
    </row>
    <row r="50" s="6" customFormat="1" ht="15.75" spans="1:20">
      <c r="A50" s="20"/>
      <c r="B50" s="9">
        <v>29</v>
      </c>
      <c r="C50" s="9" t="s">
        <v>36</v>
      </c>
      <c r="D50" s="9" t="s">
        <v>37</v>
      </c>
      <c r="E50" s="14" t="s">
        <v>24</v>
      </c>
      <c r="F50" s="14" t="s">
        <v>38</v>
      </c>
      <c r="G50" s="14" t="s">
        <v>39</v>
      </c>
      <c r="H50" s="15" t="s">
        <v>40</v>
      </c>
      <c r="I50" s="16">
        <v>40</v>
      </c>
      <c r="J50" s="17">
        <v>6.34</v>
      </c>
      <c r="K50" s="9">
        <v>2</v>
      </c>
      <c r="L50" s="9">
        <f t="shared" si="27"/>
        <v>20</v>
      </c>
      <c r="M50" s="9">
        <v>20</v>
      </c>
      <c r="N50" s="9">
        <f t="shared" si="25"/>
        <v>1</v>
      </c>
      <c r="O50" s="45">
        <f t="shared" si="26"/>
        <v>0</v>
      </c>
      <c r="P50" s="9">
        <f t="shared" si="28"/>
        <v>2</v>
      </c>
      <c r="Q50" s="9" t="s">
        <v>29</v>
      </c>
      <c r="R50" s="9" t="s">
        <v>30</v>
      </c>
      <c r="S50" s="19">
        <f t="shared" si="29"/>
        <v>348.6</v>
      </c>
      <c r="T50" s="46"/>
    </row>
    <row r="51" s="6" customFormat="1" ht="15.75" spans="1:20">
      <c r="A51" s="20"/>
      <c r="B51" s="9">
        <v>30</v>
      </c>
      <c r="C51" s="9" t="s">
        <v>36</v>
      </c>
      <c r="D51" s="9" t="s">
        <v>37</v>
      </c>
      <c r="E51" s="14" t="s">
        <v>24</v>
      </c>
      <c r="F51" s="14" t="s">
        <v>38</v>
      </c>
      <c r="G51" s="14" t="s">
        <v>39</v>
      </c>
      <c r="H51" s="15" t="s">
        <v>40</v>
      </c>
      <c r="I51" s="16">
        <v>40</v>
      </c>
      <c r="J51" s="17">
        <v>6.34</v>
      </c>
      <c r="K51" s="9">
        <v>2</v>
      </c>
      <c r="L51" s="9">
        <f t="shared" si="27"/>
        <v>20</v>
      </c>
      <c r="M51" s="9">
        <v>20</v>
      </c>
      <c r="N51" s="9">
        <f t="shared" si="25"/>
        <v>1</v>
      </c>
      <c r="O51" s="45">
        <f t="shared" si="26"/>
        <v>0</v>
      </c>
      <c r="P51" s="9">
        <f t="shared" si="28"/>
        <v>2</v>
      </c>
      <c r="Q51" s="9" t="s">
        <v>29</v>
      </c>
      <c r="R51" s="9" t="s">
        <v>30</v>
      </c>
      <c r="S51" s="19">
        <f t="shared" si="29"/>
        <v>348.6</v>
      </c>
      <c r="T51" s="46"/>
    </row>
    <row r="52" s="6" customFormat="1" ht="15.75" spans="1:20">
      <c r="A52" s="20"/>
      <c r="B52" s="13">
        <v>31</v>
      </c>
      <c r="C52" s="9" t="s">
        <v>22</v>
      </c>
      <c r="D52" s="9" t="s">
        <v>23</v>
      </c>
      <c r="E52" s="14" t="s">
        <v>24</v>
      </c>
      <c r="F52" s="14" t="s">
        <v>25</v>
      </c>
      <c r="G52" s="14" t="s">
        <v>26</v>
      </c>
      <c r="H52" s="15" t="s">
        <v>27</v>
      </c>
      <c r="I52" s="16">
        <v>21</v>
      </c>
      <c r="J52" s="17">
        <v>7.35</v>
      </c>
      <c r="K52" s="9">
        <v>2</v>
      </c>
      <c r="L52" s="9">
        <f t="shared" si="27"/>
        <v>11</v>
      </c>
      <c r="M52" s="9">
        <v>20</v>
      </c>
      <c r="N52" s="9">
        <f t="shared" si="25"/>
        <v>0</v>
      </c>
      <c r="O52" s="45">
        <f t="shared" si="26"/>
        <v>11</v>
      </c>
      <c r="P52" s="9">
        <f t="shared" si="28"/>
        <v>1</v>
      </c>
      <c r="Q52" s="9" t="s">
        <v>29</v>
      </c>
      <c r="R52" s="13" t="s">
        <v>30</v>
      </c>
      <c r="S52" s="19">
        <f>I52*J52+L52*2+N52*55+55</f>
        <v>231.35</v>
      </c>
      <c r="T52" s="46"/>
    </row>
    <row r="53" s="6" customFormat="1" ht="15.75" spans="1:20">
      <c r="A53" s="20"/>
      <c r="B53" s="22"/>
      <c r="C53" s="9" t="s">
        <v>36</v>
      </c>
      <c r="D53" s="9" t="s">
        <v>37</v>
      </c>
      <c r="E53" s="14" t="s">
        <v>24</v>
      </c>
      <c r="F53" s="14" t="s">
        <v>38</v>
      </c>
      <c r="G53" s="14" t="s">
        <v>39</v>
      </c>
      <c r="H53" s="15" t="s">
        <v>40</v>
      </c>
      <c r="I53" s="16">
        <v>17</v>
      </c>
      <c r="J53" s="17">
        <v>6.34</v>
      </c>
      <c r="K53" s="9">
        <v>2</v>
      </c>
      <c r="L53" s="9">
        <f t="shared" si="27"/>
        <v>9</v>
      </c>
      <c r="M53" s="9">
        <v>20</v>
      </c>
      <c r="N53" s="9">
        <f t="shared" si="25"/>
        <v>0</v>
      </c>
      <c r="O53" s="45">
        <f t="shared" si="26"/>
        <v>9</v>
      </c>
      <c r="P53" s="9">
        <f t="shared" si="28"/>
        <v>1</v>
      </c>
      <c r="Q53" s="9" t="s">
        <v>29</v>
      </c>
      <c r="R53" s="22"/>
      <c r="S53" s="19">
        <f t="shared" si="29"/>
        <v>125.78</v>
      </c>
      <c r="T53" s="46"/>
    </row>
    <row r="54" s="6" customFormat="1" ht="15.75" spans="1:20">
      <c r="A54" s="20"/>
      <c r="B54" s="9">
        <v>32</v>
      </c>
      <c r="C54" s="9" t="s">
        <v>31</v>
      </c>
      <c r="D54" s="9" t="s">
        <v>32</v>
      </c>
      <c r="E54" s="14" t="s">
        <v>24</v>
      </c>
      <c r="F54" s="14" t="s">
        <v>33</v>
      </c>
      <c r="G54" s="14" t="s">
        <v>34</v>
      </c>
      <c r="H54" s="15" t="s">
        <v>35</v>
      </c>
      <c r="I54" s="16">
        <v>60</v>
      </c>
      <c r="J54" s="17">
        <v>5.83</v>
      </c>
      <c r="K54" s="9">
        <v>3</v>
      </c>
      <c r="L54" s="9">
        <f t="shared" si="27"/>
        <v>20</v>
      </c>
      <c r="M54" s="9">
        <v>20</v>
      </c>
      <c r="N54" s="9">
        <f t="shared" si="25"/>
        <v>1</v>
      </c>
      <c r="O54" s="9">
        <f t="shared" si="26"/>
        <v>0</v>
      </c>
      <c r="P54" s="9">
        <f t="shared" si="28"/>
        <v>3</v>
      </c>
      <c r="Q54" s="9" t="s">
        <v>29</v>
      </c>
      <c r="R54" s="9" t="s">
        <v>30</v>
      </c>
      <c r="S54" s="19">
        <f t="shared" si="29"/>
        <v>444.8</v>
      </c>
      <c r="T54" s="5"/>
    </row>
    <row r="55" s="6" customFormat="1" ht="15.75" spans="1:20">
      <c r="A55" s="20"/>
      <c r="B55" s="9">
        <v>33</v>
      </c>
      <c r="C55" s="9" t="s">
        <v>31</v>
      </c>
      <c r="D55" s="9" t="s">
        <v>32</v>
      </c>
      <c r="E55" s="14" t="s">
        <v>24</v>
      </c>
      <c r="F55" s="14" t="s">
        <v>33</v>
      </c>
      <c r="G55" s="14" t="s">
        <v>34</v>
      </c>
      <c r="H55" s="15" t="s">
        <v>35</v>
      </c>
      <c r="I55" s="16">
        <v>41</v>
      </c>
      <c r="J55" s="17">
        <v>5.83</v>
      </c>
      <c r="K55" s="9">
        <v>3</v>
      </c>
      <c r="L55" s="9">
        <f t="shared" si="27"/>
        <v>14</v>
      </c>
      <c r="M55" s="9">
        <v>20</v>
      </c>
      <c r="N55" s="9">
        <f t="shared" si="25"/>
        <v>0</v>
      </c>
      <c r="O55" s="9">
        <f t="shared" si="26"/>
        <v>14</v>
      </c>
      <c r="P55" s="9">
        <f t="shared" si="28"/>
        <v>2</v>
      </c>
      <c r="Q55" s="9" t="s">
        <v>29</v>
      </c>
      <c r="R55" s="9" t="s">
        <v>30</v>
      </c>
      <c r="S55" s="19">
        <f>I55*J55+L55*2+N55*55+55</f>
        <v>322.03</v>
      </c>
      <c r="T55" s="5"/>
    </row>
    <row r="56" s="6" customFormat="1" ht="15.75" spans="1:20">
      <c r="A56" s="20"/>
      <c r="B56" s="9">
        <v>34</v>
      </c>
      <c r="C56" s="9" t="s">
        <v>41</v>
      </c>
      <c r="D56" s="9" t="s">
        <v>42</v>
      </c>
      <c r="E56" s="14" t="s">
        <v>24</v>
      </c>
      <c r="F56" s="14" t="s">
        <v>43</v>
      </c>
      <c r="G56" s="14" t="s">
        <v>44</v>
      </c>
      <c r="H56" s="15" t="s">
        <v>45</v>
      </c>
      <c r="I56" s="16">
        <v>60</v>
      </c>
      <c r="J56" s="17">
        <v>6.83</v>
      </c>
      <c r="K56" s="9">
        <v>3</v>
      </c>
      <c r="L56" s="9">
        <f t="shared" si="27"/>
        <v>20</v>
      </c>
      <c r="M56" s="9">
        <v>20</v>
      </c>
      <c r="N56" s="9">
        <f t="shared" si="25"/>
        <v>1</v>
      </c>
      <c r="O56" s="9">
        <f t="shared" si="26"/>
        <v>0</v>
      </c>
      <c r="P56" s="9">
        <f t="shared" si="28"/>
        <v>3</v>
      </c>
      <c r="Q56" s="9" t="s">
        <v>29</v>
      </c>
      <c r="R56" s="9" t="s">
        <v>30</v>
      </c>
      <c r="S56" s="19">
        <f t="shared" si="29"/>
        <v>504.8</v>
      </c>
      <c r="T56" s="5"/>
    </row>
    <row r="57" s="6" customFormat="1" ht="15.75" spans="1:20">
      <c r="A57" s="20"/>
      <c r="B57" s="9">
        <v>35</v>
      </c>
      <c r="C57" s="9" t="s">
        <v>41</v>
      </c>
      <c r="D57" s="9" t="s">
        <v>42</v>
      </c>
      <c r="E57" s="14" t="s">
        <v>24</v>
      </c>
      <c r="F57" s="14" t="s">
        <v>43</v>
      </c>
      <c r="G57" s="14" t="s">
        <v>44</v>
      </c>
      <c r="H57" s="15" t="s">
        <v>45</v>
      </c>
      <c r="I57" s="16">
        <v>37</v>
      </c>
      <c r="J57" s="17">
        <v>6.83</v>
      </c>
      <c r="K57" s="9">
        <v>3</v>
      </c>
      <c r="L57" s="9">
        <f t="shared" si="27"/>
        <v>13</v>
      </c>
      <c r="M57" s="9">
        <v>20</v>
      </c>
      <c r="N57" s="9">
        <f t="shared" si="25"/>
        <v>0</v>
      </c>
      <c r="O57" s="9">
        <f t="shared" si="26"/>
        <v>13</v>
      </c>
      <c r="P57" s="9">
        <f t="shared" si="28"/>
        <v>1</v>
      </c>
      <c r="Q57" s="9" t="s">
        <v>29</v>
      </c>
      <c r="R57" s="9" t="s">
        <v>30</v>
      </c>
      <c r="S57" s="19">
        <f>I57*J57+L57*2+N57*55+55</f>
        <v>333.71</v>
      </c>
      <c r="T57" s="5"/>
    </row>
    <row r="58" s="6" customFormat="1" ht="15.75" spans="1:20">
      <c r="A58" s="20"/>
      <c r="B58" s="13">
        <v>36</v>
      </c>
      <c r="C58" s="9" t="s">
        <v>56</v>
      </c>
      <c r="D58" s="9" t="s">
        <v>57</v>
      </c>
      <c r="E58" s="14" t="s">
        <v>24</v>
      </c>
      <c r="F58" s="14" t="s">
        <v>58</v>
      </c>
      <c r="G58" s="14" t="s">
        <v>59</v>
      </c>
      <c r="H58" s="15" t="s">
        <v>60</v>
      </c>
      <c r="I58" s="16">
        <v>4</v>
      </c>
      <c r="J58" s="17">
        <v>2.95</v>
      </c>
      <c r="K58" s="9">
        <v>4</v>
      </c>
      <c r="L58" s="9">
        <f t="shared" si="27"/>
        <v>1</v>
      </c>
      <c r="M58" s="9">
        <v>20</v>
      </c>
      <c r="N58" s="9">
        <f t="shared" si="25"/>
        <v>0</v>
      </c>
      <c r="O58" s="47">
        <f t="shared" si="26"/>
        <v>1</v>
      </c>
      <c r="P58" s="9" t="s">
        <v>28</v>
      </c>
      <c r="Q58" s="9" t="s">
        <v>29</v>
      </c>
      <c r="R58" s="13" t="s">
        <v>30</v>
      </c>
      <c r="S58" s="19">
        <f>I58*J58+L58*2+N58*55+55</f>
        <v>68.8</v>
      </c>
      <c r="T58" s="48"/>
    </row>
    <row r="59" s="6" customFormat="1" ht="15.75" spans="1:20">
      <c r="A59" s="20"/>
      <c r="B59" s="22"/>
      <c r="C59" s="9" t="s">
        <v>74</v>
      </c>
      <c r="D59" s="9" t="s">
        <v>75</v>
      </c>
      <c r="E59" s="14" t="s">
        <v>68</v>
      </c>
      <c r="F59" s="14" t="s">
        <v>69</v>
      </c>
      <c r="G59" s="14" t="s">
        <v>70</v>
      </c>
      <c r="H59" s="15" t="s">
        <v>71</v>
      </c>
      <c r="I59" s="16">
        <v>50</v>
      </c>
      <c r="J59" s="17">
        <v>5.69</v>
      </c>
      <c r="K59" s="9" t="s">
        <v>28</v>
      </c>
      <c r="L59" s="9">
        <v>19</v>
      </c>
      <c r="M59" s="9">
        <v>20</v>
      </c>
      <c r="N59" s="9">
        <f t="shared" si="25"/>
        <v>0</v>
      </c>
      <c r="O59" s="47">
        <f t="shared" si="26"/>
        <v>19</v>
      </c>
      <c r="P59" s="9" t="s">
        <v>28</v>
      </c>
      <c r="Q59" s="9" t="s">
        <v>29</v>
      </c>
      <c r="R59" s="22"/>
      <c r="S59" s="19">
        <f>I59*J59+L59*2+N59*55</f>
        <v>322.5</v>
      </c>
      <c r="T59" s="48"/>
    </row>
    <row r="60" s="6" customFormat="1" ht="15.75" spans="1:20">
      <c r="A60" s="20"/>
      <c r="B60" s="13">
        <v>37</v>
      </c>
      <c r="C60" s="9" t="s">
        <v>61</v>
      </c>
      <c r="D60" s="9" t="s">
        <v>62</v>
      </c>
      <c r="E60" s="14" t="s">
        <v>24</v>
      </c>
      <c r="F60" s="14" t="s">
        <v>63</v>
      </c>
      <c r="G60" s="14" t="s">
        <v>64</v>
      </c>
      <c r="H60" s="15" t="s">
        <v>65</v>
      </c>
      <c r="I60" s="16">
        <v>4</v>
      </c>
      <c r="J60" s="17">
        <v>3.67</v>
      </c>
      <c r="K60" s="9">
        <v>6</v>
      </c>
      <c r="L60" s="9">
        <f>ROUNDUP(I60/K60,0)</f>
        <v>1</v>
      </c>
      <c r="M60" s="9">
        <v>20</v>
      </c>
      <c r="N60" s="9">
        <f t="shared" si="25"/>
        <v>0</v>
      </c>
      <c r="O60" s="49">
        <f t="shared" si="26"/>
        <v>1</v>
      </c>
      <c r="P60" s="9">
        <f>I60-(L60-1)*K60</f>
        <v>4</v>
      </c>
      <c r="Q60" s="9" t="s">
        <v>29</v>
      </c>
      <c r="R60" s="13" t="s">
        <v>30</v>
      </c>
      <c r="S60" s="19">
        <f>I60*J60+L60*2+N60*55+55</f>
        <v>71.68</v>
      </c>
      <c r="T60" s="50"/>
    </row>
    <row r="61" s="6" customFormat="1" ht="15.75" spans="1:20">
      <c r="A61" s="20"/>
      <c r="B61" s="20"/>
      <c r="C61" s="9" t="s">
        <v>66</v>
      </c>
      <c r="D61" s="9" t="s">
        <v>67</v>
      </c>
      <c r="E61" s="14" t="s">
        <v>68</v>
      </c>
      <c r="F61" s="26" t="s">
        <v>69</v>
      </c>
      <c r="G61" s="26" t="s">
        <v>70</v>
      </c>
      <c r="H61" s="27" t="s">
        <v>71</v>
      </c>
      <c r="I61" s="16">
        <v>76</v>
      </c>
      <c r="J61" s="17">
        <v>1.98</v>
      </c>
      <c r="K61" s="9" t="s">
        <v>28</v>
      </c>
      <c r="L61" s="13">
        <v>19</v>
      </c>
      <c r="M61" s="9">
        <v>20</v>
      </c>
      <c r="N61" s="13">
        <f t="shared" si="25"/>
        <v>0</v>
      </c>
      <c r="O61" s="51">
        <f t="shared" si="26"/>
        <v>19</v>
      </c>
      <c r="P61" s="9" t="s">
        <v>28</v>
      </c>
      <c r="Q61" s="9" t="s">
        <v>29</v>
      </c>
      <c r="R61" s="20"/>
      <c r="S61" s="29">
        <f>I61*J61+L61*2+N61*55+I62*J62</f>
        <v>479.56</v>
      </c>
      <c r="T61" s="50"/>
    </row>
    <row r="62" s="6" customFormat="1" ht="15.75" spans="1:20">
      <c r="A62" s="22"/>
      <c r="B62" s="22"/>
      <c r="C62" s="9" t="s">
        <v>72</v>
      </c>
      <c r="D62" s="9" t="s">
        <v>73</v>
      </c>
      <c r="E62" s="14" t="s">
        <v>68</v>
      </c>
      <c r="F62" s="31"/>
      <c r="G62" s="31"/>
      <c r="H62" s="32"/>
      <c r="I62" s="16">
        <v>76</v>
      </c>
      <c r="J62" s="17">
        <v>3.83</v>
      </c>
      <c r="K62" s="9" t="s">
        <v>28</v>
      </c>
      <c r="L62" s="22"/>
      <c r="M62" s="9">
        <v>20</v>
      </c>
      <c r="N62" s="22"/>
      <c r="O62" s="52"/>
      <c r="P62" s="9" t="s">
        <v>28</v>
      </c>
      <c r="Q62" s="9" t="s">
        <v>29</v>
      </c>
      <c r="R62" s="22"/>
      <c r="S62" s="34"/>
      <c r="T62" s="50"/>
    </row>
    <row r="64" s="5" customFormat="1" ht="31.5" spans="1:20">
      <c r="A64" s="13" t="s">
        <v>1</v>
      </c>
      <c r="B64" s="13" t="s">
        <v>2</v>
      </c>
      <c r="C64" s="13" t="s">
        <v>3</v>
      </c>
      <c r="D64" s="13" t="s">
        <v>4</v>
      </c>
      <c r="E64" s="13" t="s">
        <v>5</v>
      </c>
      <c r="F64" s="13" t="s">
        <v>6</v>
      </c>
      <c r="G64" s="13" t="s">
        <v>7</v>
      </c>
      <c r="H64" s="13" t="s">
        <v>8</v>
      </c>
      <c r="I64" s="13" t="s">
        <v>9</v>
      </c>
      <c r="J64" s="53" t="s">
        <v>10</v>
      </c>
      <c r="K64" s="53" t="s">
        <v>11</v>
      </c>
      <c r="L64" s="53" t="s">
        <v>12</v>
      </c>
      <c r="M64" s="53" t="s">
        <v>13</v>
      </c>
      <c r="N64" s="53" t="s">
        <v>14</v>
      </c>
      <c r="O64" s="54" t="s">
        <v>15</v>
      </c>
      <c r="P64" s="53" t="s">
        <v>16</v>
      </c>
      <c r="Q64" s="53" t="s">
        <v>17</v>
      </c>
      <c r="R64" s="53" t="s">
        <v>18</v>
      </c>
      <c r="S64" s="55" t="s">
        <v>19</v>
      </c>
      <c r="T64" s="11" t="s">
        <v>20</v>
      </c>
    </row>
    <row r="65" s="6" customFormat="1" ht="15.75" spans="1:20">
      <c r="A65" s="13" t="s">
        <v>82</v>
      </c>
      <c r="B65" s="9">
        <v>38</v>
      </c>
      <c r="C65" s="9" t="s">
        <v>22</v>
      </c>
      <c r="D65" s="9" t="s">
        <v>23</v>
      </c>
      <c r="E65" s="14" t="s">
        <v>24</v>
      </c>
      <c r="F65" s="14" t="s">
        <v>25</v>
      </c>
      <c r="G65" s="14" t="s">
        <v>26</v>
      </c>
      <c r="H65" s="15" t="s">
        <v>27</v>
      </c>
      <c r="I65" s="16">
        <v>40</v>
      </c>
      <c r="J65" s="17">
        <v>7.35</v>
      </c>
      <c r="K65" s="9">
        <v>2</v>
      </c>
      <c r="L65" s="9">
        <f>ROUNDUP(I65/K65,0)</f>
        <v>20</v>
      </c>
      <c r="M65" s="9">
        <v>20</v>
      </c>
      <c r="N65" s="9">
        <f t="shared" ref="N65:N68" si="30">ROUNDDOWN(L65/M65,0)</f>
        <v>1</v>
      </c>
      <c r="O65" s="9">
        <f t="shared" ref="O65:O68" si="31">L65-M65*N65</f>
        <v>0</v>
      </c>
      <c r="P65" s="9">
        <f>I65-(L65-1)*K65</f>
        <v>2</v>
      </c>
      <c r="Q65" s="9" t="s">
        <v>29</v>
      </c>
      <c r="R65" s="9" t="s">
        <v>30</v>
      </c>
      <c r="S65" s="19">
        <f t="shared" ref="S65:S67" si="32">I65*J65+L65*2+N65*55</f>
        <v>389</v>
      </c>
      <c r="T65" s="5"/>
    </row>
    <row r="66" s="6" customFormat="1" ht="15.75" spans="1:20">
      <c r="A66" s="20"/>
      <c r="B66" s="9">
        <v>39</v>
      </c>
      <c r="C66" s="9" t="s">
        <v>22</v>
      </c>
      <c r="D66" s="9" t="s">
        <v>23</v>
      </c>
      <c r="E66" s="14" t="s">
        <v>24</v>
      </c>
      <c r="F66" s="14" t="s">
        <v>25</v>
      </c>
      <c r="G66" s="14" t="s">
        <v>26</v>
      </c>
      <c r="H66" s="15" t="s">
        <v>27</v>
      </c>
      <c r="I66" s="16">
        <v>40</v>
      </c>
      <c r="J66" s="17">
        <v>7.35</v>
      </c>
      <c r="K66" s="9">
        <v>2</v>
      </c>
      <c r="L66" s="9">
        <f>ROUNDUP(I66/K66,0)</f>
        <v>20</v>
      </c>
      <c r="M66" s="9">
        <v>20</v>
      </c>
      <c r="N66" s="9">
        <f t="shared" si="30"/>
        <v>1</v>
      </c>
      <c r="O66" s="9">
        <f t="shared" si="31"/>
        <v>0</v>
      </c>
      <c r="P66" s="9">
        <f>I66-(L66-1)*K66</f>
        <v>2</v>
      </c>
      <c r="Q66" s="9" t="s">
        <v>29</v>
      </c>
      <c r="R66" s="9" t="s">
        <v>30</v>
      </c>
      <c r="S66" s="19">
        <f t="shared" si="32"/>
        <v>389</v>
      </c>
      <c r="T66" s="5"/>
    </row>
    <row r="67" s="6" customFormat="1" ht="15.75" spans="1:20">
      <c r="A67" s="20"/>
      <c r="B67" s="13">
        <v>40</v>
      </c>
      <c r="C67" s="9" t="s">
        <v>22</v>
      </c>
      <c r="D67" s="9" t="s">
        <v>23</v>
      </c>
      <c r="E67" s="14" t="s">
        <v>24</v>
      </c>
      <c r="F67" s="14" t="s">
        <v>25</v>
      </c>
      <c r="G67" s="14" t="s">
        <v>26</v>
      </c>
      <c r="H67" s="15" t="s">
        <v>27</v>
      </c>
      <c r="I67" s="16">
        <v>21</v>
      </c>
      <c r="J67" s="17">
        <v>7.35</v>
      </c>
      <c r="K67" s="9">
        <v>2</v>
      </c>
      <c r="L67" s="9">
        <f>ROUNDUP(I67/K67,0)</f>
        <v>11</v>
      </c>
      <c r="M67" s="9">
        <v>20</v>
      </c>
      <c r="N67" s="9">
        <f t="shared" si="30"/>
        <v>0</v>
      </c>
      <c r="O67" s="9">
        <f t="shared" si="31"/>
        <v>11</v>
      </c>
      <c r="P67" s="9">
        <f>I67-(L67-1)*K67</f>
        <v>1</v>
      </c>
      <c r="Q67" s="9" t="s">
        <v>29</v>
      </c>
      <c r="R67" s="13" t="s">
        <v>30</v>
      </c>
      <c r="S67" s="19">
        <f>I67*J67+L67*2+N67*55+55</f>
        <v>231.35</v>
      </c>
      <c r="T67" s="5"/>
    </row>
    <row r="68" s="6" customFormat="1" ht="15.75" spans="1:20">
      <c r="A68" s="20"/>
      <c r="B68" s="22"/>
      <c r="C68" s="9" t="s">
        <v>76</v>
      </c>
      <c r="D68" s="9" t="s">
        <v>77</v>
      </c>
      <c r="E68" s="14" t="s">
        <v>68</v>
      </c>
      <c r="F68" s="14" t="s">
        <v>69</v>
      </c>
      <c r="G68" s="14" t="s">
        <v>70</v>
      </c>
      <c r="H68" s="15" t="s">
        <v>71</v>
      </c>
      <c r="I68" s="16">
        <v>6</v>
      </c>
      <c r="J68" s="17">
        <v>7.53</v>
      </c>
      <c r="K68" s="9" t="s">
        <v>28</v>
      </c>
      <c r="L68" s="9">
        <v>3</v>
      </c>
      <c r="M68" s="9">
        <v>20</v>
      </c>
      <c r="N68" s="9">
        <f t="shared" si="30"/>
        <v>0</v>
      </c>
      <c r="O68" s="56">
        <f t="shared" si="31"/>
        <v>3</v>
      </c>
      <c r="P68" s="9" t="s">
        <v>28</v>
      </c>
      <c r="Q68" s="9" t="s">
        <v>29</v>
      </c>
      <c r="R68" s="22"/>
      <c r="S68" s="19">
        <f>I68*J68+L68*2+N68*55</f>
        <v>51.18</v>
      </c>
      <c r="T68" s="5"/>
    </row>
    <row r="69" s="6" customFormat="1" ht="15.75" spans="1:20">
      <c r="A69" s="20"/>
      <c r="B69" s="9">
        <v>41</v>
      </c>
      <c r="C69" s="9" t="s">
        <v>31</v>
      </c>
      <c r="D69" s="9" t="s">
        <v>32</v>
      </c>
      <c r="E69" s="14" t="s">
        <v>24</v>
      </c>
      <c r="F69" s="14" t="s">
        <v>33</v>
      </c>
      <c r="G69" s="14" t="s">
        <v>34</v>
      </c>
      <c r="H69" s="15" t="s">
        <v>35</v>
      </c>
      <c r="I69" s="16">
        <v>60</v>
      </c>
      <c r="J69" s="17">
        <v>5.83</v>
      </c>
      <c r="K69" s="9">
        <v>3</v>
      </c>
      <c r="L69" s="9">
        <f t="shared" ref="L69:L79" si="33">ROUNDUP(I69/K69,0)</f>
        <v>20</v>
      </c>
      <c r="M69" s="9">
        <v>20</v>
      </c>
      <c r="N69" s="9">
        <f t="shared" ref="N69:N80" si="34">ROUNDDOWN(L69/M69,0)</f>
        <v>1</v>
      </c>
      <c r="O69" s="9">
        <f t="shared" ref="O69:O80" si="35">L69-M69*N69</f>
        <v>0</v>
      </c>
      <c r="P69" s="9">
        <f>I69-(L69-1)*K69</f>
        <v>3</v>
      </c>
      <c r="Q69" s="9" t="s">
        <v>29</v>
      </c>
      <c r="R69" s="9" t="s">
        <v>30</v>
      </c>
      <c r="S69" s="19">
        <f t="shared" ref="S69:S79" si="36">I69*J69+L69*2+N69*55</f>
        <v>444.8</v>
      </c>
      <c r="T69" s="5"/>
    </row>
    <row r="70" s="6" customFormat="1" ht="15.75" spans="1:20">
      <c r="A70" s="20"/>
      <c r="B70" s="9">
        <v>42</v>
      </c>
      <c r="C70" s="9" t="s">
        <v>31</v>
      </c>
      <c r="D70" s="9" t="s">
        <v>32</v>
      </c>
      <c r="E70" s="14" t="s">
        <v>24</v>
      </c>
      <c r="F70" s="14" t="s">
        <v>33</v>
      </c>
      <c r="G70" s="14" t="s">
        <v>34</v>
      </c>
      <c r="H70" s="15" t="s">
        <v>35</v>
      </c>
      <c r="I70" s="16">
        <v>41</v>
      </c>
      <c r="J70" s="17">
        <v>5.83</v>
      </c>
      <c r="K70" s="9">
        <v>3</v>
      </c>
      <c r="L70" s="9">
        <f t="shared" si="33"/>
        <v>14</v>
      </c>
      <c r="M70" s="9">
        <v>20</v>
      </c>
      <c r="N70" s="9">
        <f t="shared" si="34"/>
        <v>0</v>
      </c>
      <c r="O70" s="9">
        <f t="shared" si="35"/>
        <v>14</v>
      </c>
      <c r="P70" s="9">
        <f>I70-(L70-1)*K70</f>
        <v>2</v>
      </c>
      <c r="Q70" s="9" t="s">
        <v>29</v>
      </c>
      <c r="R70" s="9" t="s">
        <v>30</v>
      </c>
      <c r="S70" s="19">
        <f>I70*J70+L70*2+N70*55+55</f>
        <v>322.03</v>
      </c>
      <c r="T70" s="5"/>
    </row>
    <row r="71" s="6" customFormat="1" ht="15.75" spans="1:20">
      <c r="A71" s="20"/>
      <c r="B71" s="9">
        <v>43</v>
      </c>
      <c r="C71" s="9" t="s">
        <v>36</v>
      </c>
      <c r="D71" s="9" t="s">
        <v>37</v>
      </c>
      <c r="E71" s="14" t="s">
        <v>24</v>
      </c>
      <c r="F71" s="14" t="s">
        <v>38</v>
      </c>
      <c r="G71" s="14" t="s">
        <v>39</v>
      </c>
      <c r="H71" s="15" t="s">
        <v>40</v>
      </c>
      <c r="I71" s="16">
        <v>40</v>
      </c>
      <c r="J71" s="17">
        <v>6.34</v>
      </c>
      <c r="K71" s="9">
        <v>2</v>
      </c>
      <c r="L71" s="9">
        <f t="shared" si="33"/>
        <v>20</v>
      </c>
      <c r="M71" s="9">
        <v>20</v>
      </c>
      <c r="N71" s="9">
        <f t="shared" si="34"/>
        <v>1</v>
      </c>
      <c r="O71" s="9">
        <f t="shared" si="35"/>
        <v>0</v>
      </c>
      <c r="P71" s="9" t="s">
        <v>28</v>
      </c>
      <c r="Q71" s="9" t="s">
        <v>29</v>
      </c>
      <c r="R71" s="9" t="s">
        <v>30</v>
      </c>
      <c r="S71" s="19">
        <f t="shared" si="36"/>
        <v>348.6</v>
      </c>
      <c r="T71" s="5"/>
    </row>
    <row r="72" s="6" customFormat="1" ht="15.75" spans="1:20">
      <c r="A72" s="20"/>
      <c r="B72" s="9">
        <v>44</v>
      </c>
      <c r="C72" s="9" t="s">
        <v>36</v>
      </c>
      <c r="D72" s="9" t="s">
        <v>37</v>
      </c>
      <c r="E72" s="14" t="s">
        <v>24</v>
      </c>
      <c r="F72" s="14" t="s">
        <v>38</v>
      </c>
      <c r="G72" s="14" t="s">
        <v>39</v>
      </c>
      <c r="H72" s="15" t="s">
        <v>40</v>
      </c>
      <c r="I72" s="16">
        <v>40</v>
      </c>
      <c r="J72" s="17">
        <v>6.34</v>
      </c>
      <c r="K72" s="9">
        <v>2</v>
      </c>
      <c r="L72" s="9">
        <f t="shared" si="33"/>
        <v>20</v>
      </c>
      <c r="M72" s="9">
        <v>20</v>
      </c>
      <c r="N72" s="9">
        <f t="shared" si="34"/>
        <v>1</v>
      </c>
      <c r="O72" s="9">
        <f t="shared" si="35"/>
        <v>0</v>
      </c>
      <c r="P72" s="9" t="s">
        <v>28</v>
      </c>
      <c r="Q72" s="9" t="s">
        <v>29</v>
      </c>
      <c r="R72" s="9" t="s">
        <v>30</v>
      </c>
      <c r="S72" s="19">
        <f t="shared" si="36"/>
        <v>348.6</v>
      </c>
      <c r="T72" s="5"/>
    </row>
    <row r="73" s="6" customFormat="1" ht="15.75" spans="1:20">
      <c r="A73" s="20"/>
      <c r="B73" s="9">
        <v>45</v>
      </c>
      <c r="C73" s="9" t="s">
        <v>41</v>
      </c>
      <c r="D73" s="9" t="s">
        <v>42</v>
      </c>
      <c r="E73" s="14" t="s">
        <v>24</v>
      </c>
      <c r="F73" s="14" t="s">
        <v>43</v>
      </c>
      <c r="G73" s="14" t="s">
        <v>44</v>
      </c>
      <c r="H73" s="15" t="s">
        <v>45</v>
      </c>
      <c r="I73" s="16">
        <v>60</v>
      </c>
      <c r="J73" s="17">
        <v>6.83</v>
      </c>
      <c r="K73" s="9">
        <v>3</v>
      </c>
      <c r="L73" s="9">
        <f t="shared" si="33"/>
        <v>20</v>
      </c>
      <c r="M73" s="9">
        <v>20</v>
      </c>
      <c r="N73" s="9">
        <f t="shared" si="34"/>
        <v>1</v>
      </c>
      <c r="O73" s="9">
        <f t="shared" si="35"/>
        <v>0</v>
      </c>
      <c r="P73" s="9" t="s">
        <v>28</v>
      </c>
      <c r="Q73" s="9" t="s">
        <v>29</v>
      </c>
      <c r="R73" s="9" t="s">
        <v>30</v>
      </c>
      <c r="S73" s="19">
        <f t="shared" si="36"/>
        <v>504.8</v>
      </c>
      <c r="T73" s="5"/>
    </row>
    <row r="74" s="6" customFormat="1" ht="15.75" spans="1:20">
      <c r="A74" s="20"/>
      <c r="B74" s="13">
        <v>46</v>
      </c>
      <c r="C74" s="9" t="s">
        <v>36</v>
      </c>
      <c r="D74" s="9" t="s">
        <v>37</v>
      </c>
      <c r="E74" s="14" t="s">
        <v>24</v>
      </c>
      <c r="F74" s="14" t="s">
        <v>38</v>
      </c>
      <c r="G74" s="14" t="s">
        <v>39</v>
      </c>
      <c r="H74" s="15" t="s">
        <v>40</v>
      </c>
      <c r="I74" s="16">
        <v>10</v>
      </c>
      <c r="J74" s="17">
        <v>6.34</v>
      </c>
      <c r="K74" s="9">
        <v>2</v>
      </c>
      <c r="L74" s="9">
        <f t="shared" si="33"/>
        <v>5</v>
      </c>
      <c r="M74" s="9">
        <v>20</v>
      </c>
      <c r="N74" s="9">
        <f t="shared" si="34"/>
        <v>0</v>
      </c>
      <c r="O74" s="57">
        <f t="shared" si="35"/>
        <v>5</v>
      </c>
      <c r="P74" s="9" t="s">
        <v>28</v>
      </c>
      <c r="Q74" s="9" t="s">
        <v>29</v>
      </c>
      <c r="R74" s="13" t="s">
        <v>30</v>
      </c>
      <c r="S74" s="19">
        <f>I74*J74+L74*2+N74*55+55</f>
        <v>128.4</v>
      </c>
      <c r="T74" s="5"/>
    </row>
    <row r="75" s="6" customFormat="1" ht="15.75" spans="1:20">
      <c r="A75" s="20"/>
      <c r="B75" s="20"/>
      <c r="C75" s="9" t="s">
        <v>41</v>
      </c>
      <c r="D75" s="9" t="s">
        <v>42</v>
      </c>
      <c r="E75" s="14" t="s">
        <v>24</v>
      </c>
      <c r="F75" s="14" t="s">
        <v>43</v>
      </c>
      <c r="G75" s="14" t="s">
        <v>44</v>
      </c>
      <c r="H75" s="15" t="s">
        <v>45</v>
      </c>
      <c r="I75" s="16">
        <v>30</v>
      </c>
      <c r="J75" s="17">
        <v>6.83</v>
      </c>
      <c r="K75" s="9">
        <v>3</v>
      </c>
      <c r="L75" s="9">
        <f t="shared" si="33"/>
        <v>10</v>
      </c>
      <c r="M75" s="9">
        <v>20</v>
      </c>
      <c r="N75" s="9">
        <f t="shared" si="34"/>
        <v>0</v>
      </c>
      <c r="O75" s="57">
        <f t="shared" si="35"/>
        <v>10</v>
      </c>
      <c r="P75" s="9" t="s">
        <v>28</v>
      </c>
      <c r="Q75" s="9" t="s">
        <v>29</v>
      </c>
      <c r="R75" s="20"/>
      <c r="S75" s="19">
        <f t="shared" si="36"/>
        <v>224.9</v>
      </c>
      <c r="T75" s="5"/>
    </row>
    <row r="76" s="6" customFormat="1" ht="15.75" spans="1:20">
      <c r="A76" s="20"/>
      <c r="B76" s="20"/>
      <c r="C76" s="9" t="s">
        <v>46</v>
      </c>
      <c r="D76" s="9" t="s">
        <v>47</v>
      </c>
      <c r="E76" s="14" t="s">
        <v>24</v>
      </c>
      <c r="F76" s="14" t="s">
        <v>48</v>
      </c>
      <c r="G76" s="14" t="s">
        <v>49</v>
      </c>
      <c r="H76" s="15" t="s">
        <v>50</v>
      </c>
      <c r="I76" s="16">
        <v>3</v>
      </c>
      <c r="J76" s="17">
        <v>3.95</v>
      </c>
      <c r="K76" s="9">
        <v>4</v>
      </c>
      <c r="L76" s="9">
        <f t="shared" si="33"/>
        <v>1</v>
      </c>
      <c r="M76" s="9">
        <v>20</v>
      </c>
      <c r="N76" s="9">
        <f t="shared" si="34"/>
        <v>0</v>
      </c>
      <c r="O76" s="57">
        <f t="shared" si="35"/>
        <v>1</v>
      </c>
      <c r="P76" s="9">
        <f t="shared" ref="P76:P79" si="37">I76-(L76-1)*K76</f>
        <v>3</v>
      </c>
      <c r="Q76" s="9" t="s">
        <v>29</v>
      </c>
      <c r="R76" s="20"/>
      <c r="S76" s="19">
        <f t="shared" si="36"/>
        <v>13.85</v>
      </c>
      <c r="T76" s="5"/>
    </row>
    <row r="77" s="6" customFormat="1" ht="15.75" spans="1:20">
      <c r="A77" s="20"/>
      <c r="B77" s="20"/>
      <c r="C77" s="9" t="s">
        <v>51</v>
      </c>
      <c r="D77" s="9" t="s">
        <v>52</v>
      </c>
      <c r="E77" s="14" t="s">
        <v>24</v>
      </c>
      <c r="F77" s="14" t="s">
        <v>53</v>
      </c>
      <c r="G77" s="14" t="s">
        <v>54</v>
      </c>
      <c r="H77" s="15" t="s">
        <v>55</v>
      </c>
      <c r="I77" s="16">
        <v>3</v>
      </c>
      <c r="J77" s="17">
        <v>2.66</v>
      </c>
      <c r="K77" s="9">
        <v>6</v>
      </c>
      <c r="L77" s="9">
        <f t="shared" si="33"/>
        <v>1</v>
      </c>
      <c r="M77" s="9">
        <v>20</v>
      </c>
      <c r="N77" s="9">
        <f t="shared" si="34"/>
        <v>0</v>
      </c>
      <c r="O77" s="57">
        <f t="shared" si="35"/>
        <v>1</v>
      </c>
      <c r="P77" s="9">
        <f t="shared" si="37"/>
        <v>3</v>
      </c>
      <c r="Q77" s="9" t="s">
        <v>29</v>
      </c>
      <c r="R77" s="20"/>
      <c r="S77" s="19">
        <f t="shared" si="36"/>
        <v>9.98</v>
      </c>
      <c r="T77" s="5"/>
    </row>
    <row r="78" s="6" customFormat="1" ht="15.75" spans="1:20">
      <c r="A78" s="20"/>
      <c r="B78" s="22"/>
      <c r="C78" s="9" t="s">
        <v>56</v>
      </c>
      <c r="D78" s="9" t="s">
        <v>57</v>
      </c>
      <c r="E78" s="14" t="s">
        <v>24</v>
      </c>
      <c r="F78" s="14" t="s">
        <v>58</v>
      </c>
      <c r="G78" s="14" t="s">
        <v>59</v>
      </c>
      <c r="H78" s="15" t="s">
        <v>60</v>
      </c>
      <c r="I78" s="16">
        <v>11</v>
      </c>
      <c r="J78" s="17">
        <v>2.95</v>
      </c>
      <c r="K78" s="9">
        <v>4</v>
      </c>
      <c r="L78" s="9">
        <f t="shared" si="33"/>
        <v>3</v>
      </c>
      <c r="M78" s="9">
        <v>20</v>
      </c>
      <c r="N78" s="9">
        <f t="shared" si="34"/>
        <v>0</v>
      </c>
      <c r="O78" s="57">
        <f t="shared" si="35"/>
        <v>3</v>
      </c>
      <c r="P78" s="9">
        <f t="shared" si="37"/>
        <v>3</v>
      </c>
      <c r="Q78" s="9" t="s">
        <v>29</v>
      </c>
      <c r="R78" s="22"/>
      <c r="S78" s="19">
        <f t="shared" si="36"/>
        <v>38.45</v>
      </c>
      <c r="T78" s="5"/>
    </row>
    <row r="79" s="6" customFormat="1" ht="15.75" spans="1:20">
      <c r="A79" s="20"/>
      <c r="B79" s="13">
        <v>47</v>
      </c>
      <c r="C79" s="9" t="s">
        <v>61</v>
      </c>
      <c r="D79" s="9" t="s">
        <v>62</v>
      </c>
      <c r="E79" s="14" t="s">
        <v>24</v>
      </c>
      <c r="F79" s="14" t="s">
        <v>63</v>
      </c>
      <c r="G79" s="14" t="s">
        <v>64</v>
      </c>
      <c r="H79" s="15" t="s">
        <v>65</v>
      </c>
      <c r="I79" s="16">
        <v>11</v>
      </c>
      <c r="J79" s="17">
        <v>3.67</v>
      </c>
      <c r="K79" s="9">
        <v>6</v>
      </c>
      <c r="L79" s="9">
        <f t="shared" si="33"/>
        <v>2</v>
      </c>
      <c r="M79" s="9">
        <v>20</v>
      </c>
      <c r="N79" s="9">
        <f t="shared" si="34"/>
        <v>0</v>
      </c>
      <c r="O79" s="58">
        <f t="shared" si="35"/>
        <v>2</v>
      </c>
      <c r="P79" s="9">
        <f t="shared" si="37"/>
        <v>5</v>
      </c>
      <c r="Q79" s="9" t="s">
        <v>29</v>
      </c>
      <c r="R79" s="13" t="s">
        <v>30</v>
      </c>
      <c r="S79" s="19">
        <f>I79*J79+L79*2+N79*55+55</f>
        <v>99.37</v>
      </c>
      <c r="T79" s="5"/>
    </row>
    <row r="80" s="6" customFormat="1" ht="15.75" spans="1:20">
      <c r="A80" s="20"/>
      <c r="B80" s="20"/>
      <c r="C80" s="9" t="s">
        <v>66</v>
      </c>
      <c r="D80" s="9" t="s">
        <v>67</v>
      </c>
      <c r="E80" s="14" t="s">
        <v>68</v>
      </c>
      <c r="F80" s="26" t="s">
        <v>69</v>
      </c>
      <c r="G80" s="26" t="s">
        <v>70</v>
      </c>
      <c r="H80" s="27" t="s">
        <v>71</v>
      </c>
      <c r="I80" s="16">
        <v>71</v>
      </c>
      <c r="J80" s="17">
        <v>1.98</v>
      </c>
      <c r="K80" s="9" t="s">
        <v>28</v>
      </c>
      <c r="L80" s="9">
        <v>18</v>
      </c>
      <c r="M80" s="9">
        <v>20</v>
      </c>
      <c r="N80" s="9">
        <f t="shared" si="34"/>
        <v>0</v>
      </c>
      <c r="O80" s="58">
        <f t="shared" si="35"/>
        <v>18</v>
      </c>
      <c r="P80" s="9" t="s">
        <v>28</v>
      </c>
      <c r="Q80" s="9" t="s">
        <v>29</v>
      </c>
      <c r="R80" s="20"/>
      <c r="S80" s="19">
        <f>I80*J80+L80*2+N80*55+I81*J81</f>
        <v>444.68</v>
      </c>
      <c r="T80" s="5"/>
    </row>
    <row r="81" s="6" customFormat="1" ht="15.75" spans="1:20">
      <c r="A81" s="20"/>
      <c r="B81" s="22"/>
      <c r="C81" s="9" t="s">
        <v>72</v>
      </c>
      <c r="D81" s="9" t="s">
        <v>73</v>
      </c>
      <c r="E81" s="14" t="s">
        <v>68</v>
      </c>
      <c r="F81" s="31"/>
      <c r="G81" s="31"/>
      <c r="H81" s="32"/>
      <c r="I81" s="16">
        <v>70</v>
      </c>
      <c r="J81" s="17">
        <v>3.83</v>
      </c>
      <c r="K81" s="9" t="s">
        <v>28</v>
      </c>
      <c r="L81" s="9"/>
      <c r="M81" s="9">
        <v>20</v>
      </c>
      <c r="N81" s="9"/>
      <c r="O81" s="58"/>
      <c r="P81" s="9" t="s">
        <v>28</v>
      </c>
      <c r="Q81" s="9" t="s">
        <v>29</v>
      </c>
      <c r="R81" s="22"/>
      <c r="S81" s="19"/>
      <c r="T81" s="5"/>
    </row>
    <row r="82" s="6" customFormat="1" ht="15.75" spans="1:20">
      <c r="A82" s="20"/>
      <c r="B82" s="13">
        <v>48</v>
      </c>
      <c r="C82" s="9" t="s">
        <v>74</v>
      </c>
      <c r="D82" s="9" t="s">
        <v>75</v>
      </c>
      <c r="E82" s="14" t="s">
        <v>68</v>
      </c>
      <c r="F82" s="26" t="s">
        <v>69</v>
      </c>
      <c r="G82" s="26" t="s">
        <v>70</v>
      </c>
      <c r="H82" s="27" t="s">
        <v>71</v>
      </c>
      <c r="I82" s="16">
        <v>56</v>
      </c>
      <c r="J82" s="17">
        <v>5.69</v>
      </c>
      <c r="K82" s="9" t="s">
        <v>28</v>
      </c>
      <c r="L82" s="9">
        <v>18</v>
      </c>
      <c r="M82" s="9">
        <v>20</v>
      </c>
      <c r="N82" s="9">
        <v>0</v>
      </c>
      <c r="O82" s="59">
        <v>18</v>
      </c>
      <c r="P82" s="9" t="s">
        <v>28</v>
      </c>
      <c r="Q82" s="9" t="s">
        <v>29</v>
      </c>
      <c r="R82" s="13" t="s">
        <v>30</v>
      </c>
      <c r="S82" s="19">
        <f>I82*J82+L82*2+N82*55+55</f>
        <v>409.64</v>
      </c>
      <c r="T82" s="5"/>
    </row>
    <row r="83" s="6" customFormat="1" ht="15.75" spans="1:20">
      <c r="A83" s="20"/>
      <c r="B83" s="20"/>
      <c r="C83" s="9" t="s">
        <v>78</v>
      </c>
      <c r="D83" s="9" t="s">
        <v>79</v>
      </c>
      <c r="E83" s="14" t="s">
        <v>68</v>
      </c>
      <c r="F83" s="60"/>
      <c r="G83" s="60"/>
      <c r="H83" s="61"/>
      <c r="I83" s="16">
        <v>1</v>
      </c>
      <c r="J83" s="17">
        <v>9.37</v>
      </c>
      <c r="K83" s="9" t="s">
        <v>28</v>
      </c>
      <c r="L83" s="9">
        <v>1</v>
      </c>
      <c r="M83" s="9">
        <v>20</v>
      </c>
      <c r="N83" s="9">
        <v>0</v>
      </c>
      <c r="O83" s="59">
        <v>1</v>
      </c>
      <c r="P83" s="9" t="s">
        <v>28</v>
      </c>
      <c r="Q83" s="9" t="s">
        <v>29</v>
      </c>
      <c r="R83" s="20"/>
      <c r="S83" s="19">
        <f t="shared" ref="S83:S93" si="38">I83*J83+L83*2+N83*55</f>
        <v>11.37</v>
      </c>
      <c r="T83" s="5"/>
    </row>
    <row r="84" s="6" customFormat="1" ht="15.75" spans="1:20">
      <c r="A84" s="22"/>
      <c r="B84" s="22"/>
      <c r="C84" s="9" t="s">
        <v>83</v>
      </c>
      <c r="D84" s="9" t="s">
        <v>84</v>
      </c>
      <c r="E84" s="14" t="s">
        <v>68</v>
      </c>
      <c r="F84" s="31"/>
      <c r="G84" s="31"/>
      <c r="H84" s="32"/>
      <c r="I84" s="16">
        <v>1</v>
      </c>
      <c r="J84" s="17">
        <v>11.21</v>
      </c>
      <c r="K84" s="9" t="s">
        <v>28</v>
      </c>
      <c r="L84" s="9">
        <v>1</v>
      </c>
      <c r="M84" s="9">
        <v>20</v>
      </c>
      <c r="N84" s="9">
        <v>0</v>
      </c>
      <c r="O84" s="59">
        <v>1</v>
      </c>
      <c r="P84" s="9" t="s">
        <v>28</v>
      </c>
      <c r="Q84" s="9" t="s">
        <v>29</v>
      </c>
      <c r="R84" s="22"/>
      <c r="S84" s="19">
        <f t="shared" si="38"/>
        <v>13.21</v>
      </c>
      <c r="T84" s="5"/>
    </row>
    <row r="86" s="5" customFormat="1" ht="31.5" spans="1:20">
      <c r="A86" s="9" t="s">
        <v>1</v>
      </c>
      <c r="B86" s="9" t="s">
        <v>2</v>
      </c>
      <c r="C86" s="9" t="s">
        <v>3</v>
      </c>
      <c r="D86" s="9" t="s">
        <v>4</v>
      </c>
      <c r="E86" s="9" t="s">
        <v>5</v>
      </c>
      <c r="F86" s="9" t="s">
        <v>6</v>
      </c>
      <c r="G86" s="9" t="s">
        <v>7</v>
      </c>
      <c r="H86" s="9" t="s">
        <v>8</v>
      </c>
      <c r="I86" s="9" t="s">
        <v>9</v>
      </c>
      <c r="J86" s="10" t="s">
        <v>10</v>
      </c>
      <c r="K86" s="10" t="s">
        <v>11</v>
      </c>
      <c r="L86" s="10" t="s">
        <v>12</v>
      </c>
      <c r="M86" s="10" t="s">
        <v>13</v>
      </c>
      <c r="N86" s="10" t="s">
        <v>14</v>
      </c>
      <c r="O86" s="11" t="s">
        <v>15</v>
      </c>
      <c r="P86" s="10" t="s">
        <v>16</v>
      </c>
      <c r="Q86" s="10" t="s">
        <v>17</v>
      </c>
      <c r="R86" s="10" t="s">
        <v>18</v>
      </c>
      <c r="S86" s="12" t="s">
        <v>19</v>
      </c>
      <c r="T86" s="11" t="s">
        <v>20</v>
      </c>
    </row>
    <row r="87" s="6" customFormat="1" ht="15.75" spans="1:20">
      <c r="A87" s="13" t="s">
        <v>85</v>
      </c>
      <c r="B87" s="9">
        <v>49</v>
      </c>
      <c r="C87" s="9" t="s">
        <v>22</v>
      </c>
      <c r="D87" s="9" t="s">
        <v>23</v>
      </c>
      <c r="E87" s="14" t="s">
        <v>24</v>
      </c>
      <c r="F87" s="14" t="s">
        <v>25</v>
      </c>
      <c r="G87" s="14" t="s">
        <v>26</v>
      </c>
      <c r="H87" s="15" t="s">
        <v>27</v>
      </c>
      <c r="I87" s="16">
        <v>40</v>
      </c>
      <c r="J87" s="17">
        <v>7.35</v>
      </c>
      <c r="K87" s="9">
        <v>2</v>
      </c>
      <c r="L87" s="9">
        <f t="shared" ref="L87:L99" si="39">ROUNDUP(I87/K87,0)</f>
        <v>20</v>
      </c>
      <c r="M87" s="9">
        <v>20</v>
      </c>
      <c r="N87" s="9">
        <f t="shared" ref="N87:N93" si="40">ROUNDDOWN(L87/M87,0)</f>
        <v>1</v>
      </c>
      <c r="O87" s="36">
        <f t="shared" ref="O87:O93" si="41">L87-M87*N87</f>
        <v>0</v>
      </c>
      <c r="P87" s="9" t="s">
        <v>28</v>
      </c>
      <c r="Q87" s="9" t="s">
        <v>29</v>
      </c>
      <c r="R87" s="9" t="s">
        <v>30</v>
      </c>
      <c r="S87" s="19">
        <f t="shared" si="38"/>
        <v>389</v>
      </c>
      <c r="T87" s="37"/>
    </row>
    <row r="88" s="6" customFormat="1" ht="15.75" spans="1:20">
      <c r="A88" s="20"/>
      <c r="B88" s="9">
        <v>50</v>
      </c>
      <c r="C88" s="9" t="s">
        <v>22</v>
      </c>
      <c r="D88" s="9" t="s">
        <v>23</v>
      </c>
      <c r="E88" s="14" t="s">
        <v>24</v>
      </c>
      <c r="F88" s="14" t="s">
        <v>25</v>
      </c>
      <c r="G88" s="14" t="s">
        <v>26</v>
      </c>
      <c r="H88" s="15" t="s">
        <v>27</v>
      </c>
      <c r="I88" s="16">
        <v>40</v>
      </c>
      <c r="J88" s="17">
        <v>7.35</v>
      </c>
      <c r="K88" s="9">
        <v>2</v>
      </c>
      <c r="L88" s="9">
        <f t="shared" si="39"/>
        <v>20</v>
      </c>
      <c r="M88" s="9">
        <v>20</v>
      </c>
      <c r="N88" s="9">
        <f t="shared" si="40"/>
        <v>1</v>
      </c>
      <c r="O88" s="36">
        <f t="shared" si="41"/>
        <v>0</v>
      </c>
      <c r="P88" s="9" t="s">
        <v>28</v>
      </c>
      <c r="Q88" s="9" t="s">
        <v>29</v>
      </c>
      <c r="R88" s="9" t="s">
        <v>30</v>
      </c>
      <c r="S88" s="19">
        <f t="shared" si="38"/>
        <v>389</v>
      </c>
      <c r="T88" s="37"/>
    </row>
    <row r="89" s="6" customFormat="1" ht="15.75" spans="1:20">
      <c r="A89" s="20"/>
      <c r="B89" s="9">
        <v>51</v>
      </c>
      <c r="C89" s="9" t="s">
        <v>31</v>
      </c>
      <c r="D89" s="9" t="s">
        <v>32</v>
      </c>
      <c r="E89" s="14" t="s">
        <v>24</v>
      </c>
      <c r="F89" s="14" t="s">
        <v>33</v>
      </c>
      <c r="G89" s="14" t="s">
        <v>34</v>
      </c>
      <c r="H89" s="15" t="s">
        <v>35</v>
      </c>
      <c r="I89" s="16">
        <v>60</v>
      </c>
      <c r="J89" s="17">
        <v>5.83</v>
      </c>
      <c r="K89" s="9">
        <v>3</v>
      </c>
      <c r="L89" s="9">
        <f t="shared" si="39"/>
        <v>20</v>
      </c>
      <c r="M89" s="9">
        <v>20</v>
      </c>
      <c r="N89" s="9">
        <f t="shared" si="40"/>
        <v>1</v>
      </c>
      <c r="O89" s="36">
        <f t="shared" si="41"/>
        <v>0</v>
      </c>
      <c r="P89" s="9">
        <f>I89-(L89-1)*K89</f>
        <v>3</v>
      </c>
      <c r="Q89" s="9" t="s">
        <v>29</v>
      </c>
      <c r="R89" s="9" t="s">
        <v>30</v>
      </c>
      <c r="S89" s="19">
        <f t="shared" si="38"/>
        <v>444.8</v>
      </c>
      <c r="T89" s="37"/>
    </row>
    <row r="90" s="6" customFormat="1" ht="15.75" spans="1:20">
      <c r="A90" s="20"/>
      <c r="B90" s="9">
        <v>52</v>
      </c>
      <c r="C90" s="9" t="s">
        <v>36</v>
      </c>
      <c r="D90" s="9" t="s">
        <v>37</v>
      </c>
      <c r="E90" s="14" t="s">
        <v>24</v>
      </c>
      <c r="F90" s="14" t="s">
        <v>38</v>
      </c>
      <c r="G90" s="14" t="s">
        <v>39</v>
      </c>
      <c r="H90" s="15" t="s">
        <v>40</v>
      </c>
      <c r="I90" s="16">
        <v>40</v>
      </c>
      <c r="J90" s="17">
        <v>6.34</v>
      </c>
      <c r="K90" s="9">
        <v>2</v>
      </c>
      <c r="L90" s="9">
        <f t="shared" si="39"/>
        <v>20</v>
      </c>
      <c r="M90" s="9">
        <v>20</v>
      </c>
      <c r="N90" s="9">
        <f t="shared" si="40"/>
        <v>1</v>
      </c>
      <c r="O90" s="62">
        <f t="shared" si="41"/>
        <v>0</v>
      </c>
      <c r="P90" s="9" t="s">
        <v>28</v>
      </c>
      <c r="Q90" s="9" t="s">
        <v>29</v>
      </c>
      <c r="R90" s="9" t="s">
        <v>30</v>
      </c>
      <c r="S90" s="19">
        <f t="shared" si="38"/>
        <v>348.6</v>
      </c>
      <c r="T90" s="63"/>
    </row>
    <row r="91" s="6" customFormat="1" ht="15.75" spans="1:20">
      <c r="A91" s="20"/>
      <c r="B91" s="9">
        <v>53</v>
      </c>
      <c r="C91" s="9" t="s">
        <v>41</v>
      </c>
      <c r="D91" s="9" t="s">
        <v>42</v>
      </c>
      <c r="E91" s="14" t="s">
        <v>24</v>
      </c>
      <c r="F91" s="14" t="s">
        <v>43</v>
      </c>
      <c r="G91" s="14" t="s">
        <v>44</v>
      </c>
      <c r="H91" s="15" t="s">
        <v>45</v>
      </c>
      <c r="I91" s="16">
        <v>60</v>
      </c>
      <c r="J91" s="17">
        <v>6.83</v>
      </c>
      <c r="K91" s="9">
        <v>3</v>
      </c>
      <c r="L91" s="9">
        <f t="shared" si="39"/>
        <v>20</v>
      </c>
      <c r="M91" s="9">
        <v>20</v>
      </c>
      <c r="N91" s="9">
        <f t="shared" si="40"/>
        <v>1</v>
      </c>
      <c r="O91" s="62">
        <f t="shared" si="41"/>
        <v>0</v>
      </c>
      <c r="P91" s="9" t="s">
        <v>28</v>
      </c>
      <c r="Q91" s="9" t="s">
        <v>29</v>
      </c>
      <c r="R91" s="9" t="s">
        <v>30</v>
      </c>
      <c r="S91" s="19">
        <f t="shared" si="38"/>
        <v>504.8</v>
      </c>
      <c r="T91" s="63"/>
    </row>
    <row r="92" s="6" customFormat="1" ht="15.75" spans="1:20">
      <c r="A92" s="20"/>
      <c r="B92" s="13">
        <v>54</v>
      </c>
      <c r="C92" s="9" t="s">
        <v>36</v>
      </c>
      <c r="D92" s="9" t="s">
        <v>37</v>
      </c>
      <c r="E92" s="14" t="s">
        <v>24</v>
      </c>
      <c r="F92" s="14" t="s">
        <v>38</v>
      </c>
      <c r="G92" s="14" t="s">
        <v>39</v>
      </c>
      <c r="H92" s="15" t="s">
        <v>40</v>
      </c>
      <c r="I92" s="16">
        <v>32</v>
      </c>
      <c r="J92" s="17">
        <v>6.34</v>
      </c>
      <c r="K92" s="9">
        <v>2</v>
      </c>
      <c r="L92" s="9">
        <f t="shared" si="39"/>
        <v>16</v>
      </c>
      <c r="M92" s="9">
        <v>20</v>
      </c>
      <c r="N92" s="9">
        <f t="shared" si="40"/>
        <v>0</v>
      </c>
      <c r="O92" s="62">
        <f t="shared" si="41"/>
        <v>16</v>
      </c>
      <c r="P92" s="9" t="s">
        <v>28</v>
      </c>
      <c r="Q92" s="9" t="s">
        <v>29</v>
      </c>
      <c r="R92" s="13" t="s">
        <v>30</v>
      </c>
      <c r="S92" s="19">
        <f>I92*J92+L92*2+N92*55+55</f>
        <v>289.88</v>
      </c>
      <c r="T92" s="63"/>
    </row>
    <row r="93" s="6" customFormat="1" ht="15.75" spans="1:20">
      <c r="A93" s="20"/>
      <c r="B93" s="22"/>
      <c r="C93" s="9" t="s">
        <v>41</v>
      </c>
      <c r="D93" s="9" t="s">
        <v>42</v>
      </c>
      <c r="E93" s="14" t="s">
        <v>24</v>
      </c>
      <c r="F93" s="14" t="s">
        <v>43</v>
      </c>
      <c r="G93" s="14" t="s">
        <v>44</v>
      </c>
      <c r="H93" s="15" t="s">
        <v>45</v>
      </c>
      <c r="I93" s="16">
        <v>12</v>
      </c>
      <c r="J93" s="17">
        <v>6.83</v>
      </c>
      <c r="K93" s="9">
        <v>3</v>
      </c>
      <c r="L93" s="9">
        <f t="shared" si="39"/>
        <v>4</v>
      </c>
      <c r="M93" s="9">
        <v>20</v>
      </c>
      <c r="N93" s="9">
        <f t="shared" si="40"/>
        <v>0</v>
      </c>
      <c r="O93" s="62">
        <f t="shared" si="41"/>
        <v>4</v>
      </c>
      <c r="P93" s="9" t="s">
        <v>28</v>
      </c>
      <c r="Q93" s="9" t="s">
        <v>29</v>
      </c>
      <c r="R93" s="22"/>
      <c r="S93" s="19">
        <f t="shared" si="38"/>
        <v>89.96</v>
      </c>
      <c r="T93" s="63"/>
    </row>
    <row r="94" s="6" customFormat="1" ht="15.75" spans="1:20">
      <c r="A94" s="20"/>
      <c r="B94" s="13">
        <v>55</v>
      </c>
      <c r="C94" s="9" t="s">
        <v>22</v>
      </c>
      <c r="D94" s="9" t="s">
        <v>23</v>
      </c>
      <c r="E94" s="14" t="s">
        <v>24</v>
      </c>
      <c r="F94" s="14" t="s">
        <v>25</v>
      </c>
      <c r="G94" s="14" t="s">
        <v>26</v>
      </c>
      <c r="H94" s="15" t="s">
        <v>27</v>
      </c>
      <c r="I94" s="16">
        <v>2</v>
      </c>
      <c r="J94" s="17">
        <v>7.35</v>
      </c>
      <c r="K94" s="9">
        <v>2</v>
      </c>
      <c r="L94" s="9">
        <f t="shared" si="39"/>
        <v>1</v>
      </c>
      <c r="M94" s="9">
        <v>20</v>
      </c>
      <c r="N94" s="9">
        <f t="shared" ref="N94:N102" si="42">ROUNDDOWN(L94/M94,0)</f>
        <v>0</v>
      </c>
      <c r="O94" s="36">
        <v>1</v>
      </c>
      <c r="P94" s="9" t="s">
        <v>28</v>
      </c>
      <c r="Q94" s="9" t="s">
        <v>29</v>
      </c>
      <c r="R94" s="13" t="s">
        <v>30</v>
      </c>
      <c r="S94" s="19">
        <f>I94*J94+L94*2+N94*55+55</f>
        <v>71.7</v>
      </c>
      <c r="T94" s="37"/>
    </row>
    <row r="95" s="6" customFormat="1" ht="15.75" spans="1:20">
      <c r="A95" s="20"/>
      <c r="B95" s="20"/>
      <c r="C95" s="9" t="s">
        <v>31</v>
      </c>
      <c r="D95" s="9" t="s">
        <v>32</v>
      </c>
      <c r="E95" s="14" t="s">
        <v>24</v>
      </c>
      <c r="F95" s="14" t="s">
        <v>33</v>
      </c>
      <c r="G95" s="14" t="s">
        <v>34</v>
      </c>
      <c r="H95" s="15" t="s">
        <v>35</v>
      </c>
      <c r="I95" s="16">
        <v>22</v>
      </c>
      <c r="J95" s="17">
        <v>5.83</v>
      </c>
      <c r="K95" s="9">
        <v>3</v>
      </c>
      <c r="L95" s="9">
        <f t="shared" si="39"/>
        <v>8</v>
      </c>
      <c r="M95" s="9">
        <v>20</v>
      </c>
      <c r="N95" s="9">
        <f t="shared" si="42"/>
        <v>0</v>
      </c>
      <c r="O95" s="36">
        <v>8</v>
      </c>
      <c r="P95" s="9">
        <v>1</v>
      </c>
      <c r="Q95" s="9" t="s">
        <v>29</v>
      </c>
      <c r="R95" s="20"/>
      <c r="S95" s="19">
        <f>I95*J95+L95*2+N95*55</f>
        <v>144.26</v>
      </c>
      <c r="T95" s="37"/>
    </row>
    <row r="96" s="6" customFormat="1" ht="15.75" spans="1:20">
      <c r="A96" s="20"/>
      <c r="B96" s="20"/>
      <c r="C96" s="9" t="s">
        <v>46</v>
      </c>
      <c r="D96" s="9" t="s">
        <v>47</v>
      </c>
      <c r="E96" s="14" t="s">
        <v>24</v>
      </c>
      <c r="F96" s="14" t="s">
        <v>48</v>
      </c>
      <c r="G96" s="14" t="s">
        <v>49</v>
      </c>
      <c r="H96" s="15" t="s">
        <v>50</v>
      </c>
      <c r="I96" s="16">
        <v>3</v>
      </c>
      <c r="J96" s="17">
        <v>3.95</v>
      </c>
      <c r="K96" s="9">
        <v>4</v>
      </c>
      <c r="L96" s="9">
        <f t="shared" si="39"/>
        <v>1</v>
      </c>
      <c r="M96" s="9">
        <v>20</v>
      </c>
      <c r="N96" s="9">
        <f t="shared" si="42"/>
        <v>0</v>
      </c>
      <c r="O96" s="36">
        <v>1</v>
      </c>
      <c r="P96" s="9">
        <v>3</v>
      </c>
      <c r="Q96" s="9" t="s">
        <v>29</v>
      </c>
      <c r="R96" s="20"/>
      <c r="S96" s="19">
        <f t="shared" ref="S96:S101" si="43">I96*J96+L96*2+N96*55</f>
        <v>13.85</v>
      </c>
      <c r="T96" s="37"/>
    </row>
    <row r="97" s="6" customFormat="1" ht="15.75" spans="1:20">
      <c r="A97" s="20"/>
      <c r="B97" s="20"/>
      <c r="C97" s="9" t="s">
        <v>51</v>
      </c>
      <c r="D97" s="9" t="s">
        <v>52</v>
      </c>
      <c r="E97" s="14" t="s">
        <v>24</v>
      </c>
      <c r="F97" s="14" t="s">
        <v>53</v>
      </c>
      <c r="G97" s="14" t="s">
        <v>54</v>
      </c>
      <c r="H97" s="15" t="s">
        <v>55</v>
      </c>
      <c r="I97" s="16">
        <v>3</v>
      </c>
      <c r="J97" s="17">
        <v>2.66</v>
      </c>
      <c r="K97" s="9">
        <v>6</v>
      </c>
      <c r="L97" s="9">
        <f t="shared" si="39"/>
        <v>1</v>
      </c>
      <c r="M97" s="9">
        <v>20</v>
      </c>
      <c r="N97" s="9">
        <f t="shared" si="42"/>
        <v>0</v>
      </c>
      <c r="O97" s="36">
        <v>1</v>
      </c>
      <c r="P97" s="9">
        <v>3</v>
      </c>
      <c r="Q97" s="9" t="s">
        <v>29</v>
      </c>
      <c r="R97" s="20"/>
      <c r="S97" s="19">
        <f t="shared" si="43"/>
        <v>9.98</v>
      </c>
      <c r="T97" s="37"/>
    </row>
    <row r="98" s="6" customFormat="1" ht="15.75" spans="1:20">
      <c r="A98" s="20"/>
      <c r="B98" s="20"/>
      <c r="C98" s="9" t="s">
        <v>56</v>
      </c>
      <c r="D98" s="9" t="s">
        <v>57</v>
      </c>
      <c r="E98" s="14" t="s">
        <v>24</v>
      </c>
      <c r="F98" s="14" t="s">
        <v>58</v>
      </c>
      <c r="G98" s="14" t="s">
        <v>59</v>
      </c>
      <c r="H98" s="15" t="s">
        <v>60</v>
      </c>
      <c r="I98" s="16">
        <v>11</v>
      </c>
      <c r="J98" s="17">
        <v>2.95</v>
      </c>
      <c r="K98" s="9">
        <v>4</v>
      </c>
      <c r="L98" s="9">
        <f t="shared" si="39"/>
        <v>3</v>
      </c>
      <c r="M98" s="9">
        <v>20</v>
      </c>
      <c r="N98" s="9">
        <f t="shared" si="42"/>
        <v>0</v>
      </c>
      <c r="O98" s="36">
        <v>3</v>
      </c>
      <c r="P98" s="9">
        <v>3</v>
      </c>
      <c r="Q98" s="9" t="s">
        <v>29</v>
      </c>
      <c r="R98" s="20"/>
      <c r="S98" s="19">
        <f t="shared" si="43"/>
        <v>38.45</v>
      </c>
      <c r="T98" s="37"/>
    </row>
    <row r="99" s="6" customFormat="1" ht="15.75" spans="1:20">
      <c r="A99" s="20"/>
      <c r="B99" s="20"/>
      <c r="C99" s="9" t="s">
        <v>61</v>
      </c>
      <c r="D99" s="9" t="s">
        <v>62</v>
      </c>
      <c r="E99" s="14" t="s">
        <v>24</v>
      </c>
      <c r="F99" s="14" t="s">
        <v>63</v>
      </c>
      <c r="G99" s="14" t="s">
        <v>64</v>
      </c>
      <c r="H99" s="15" t="s">
        <v>65</v>
      </c>
      <c r="I99" s="16">
        <v>11</v>
      </c>
      <c r="J99" s="17">
        <v>3.67</v>
      </c>
      <c r="K99" s="9">
        <v>6</v>
      </c>
      <c r="L99" s="9">
        <f t="shared" si="39"/>
        <v>2</v>
      </c>
      <c r="M99" s="9">
        <v>20</v>
      </c>
      <c r="N99" s="9">
        <f t="shared" si="42"/>
        <v>0</v>
      </c>
      <c r="O99" s="36">
        <v>2</v>
      </c>
      <c r="P99" s="9">
        <v>5</v>
      </c>
      <c r="Q99" s="9" t="s">
        <v>29</v>
      </c>
      <c r="R99" s="20"/>
      <c r="S99" s="19">
        <f t="shared" si="43"/>
        <v>44.37</v>
      </c>
      <c r="T99" s="37"/>
    </row>
    <row r="100" s="6" customFormat="1" ht="15.75" spans="1:20">
      <c r="A100" s="20"/>
      <c r="B100" s="20"/>
      <c r="C100" s="9" t="s">
        <v>76</v>
      </c>
      <c r="D100" s="9" t="s">
        <v>77</v>
      </c>
      <c r="E100" s="14" t="s">
        <v>68</v>
      </c>
      <c r="F100" s="26" t="s">
        <v>69</v>
      </c>
      <c r="G100" s="26" t="s">
        <v>70</v>
      </c>
      <c r="H100" s="27" t="s">
        <v>71</v>
      </c>
      <c r="I100" s="16">
        <v>7</v>
      </c>
      <c r="J100" s="17">
        <v>7.53</v>
      </c>
      <c r="K100" s="9" t="s">
        <v>28</v>
      </c>
      <c r="L100" s="9">
        <v>3</v>
      </c>
      <c r="M100" s="9">
        <v>20</v>
      </c>
      <c r="N100" s="9">
        <f t="shared" si="42"/>
        <v>0</v>
      </c>
      <c r="O100" s="36">
        <v>3</v>
      </c>
      <c r="P100" s="9" t="s">
        <v>28</v>
      </c>
      <c r="Q100" s="9" t="s">
        <v>29</v>
      </c>
      <c r="R100" s="20"/>
      <c r="S100" s="19">
        <f t="shared" si="43"/>
        <v>58.71</v>
      </c>
      <c r="T100" s="37"/>
    </row>
    <row r="101" s="6" customFormat="1" ht="15.75" spans="1:20">
      <c r="A101" s="20"/>
      <c r="B101" s="22"/>
      <c r="C101" s="9" t="s">
        <v>78</v>
      </c>
      <c r="D101" s="9" t="s">
        <v>79</v>
      </c>
      <c r="E101" s="14" t="s">
        <v>68</v>
      </c>
      <c r="F101" s="31"/>
      <c r="G101" s="31"/>
      <c r="H101" s="32"/>
      <c r="I101" s="16">
        <v>1</v>
      </c>
      <c r="J101" s="17">
        <v>9.37</v>
      </c>
      <c r="K101" s="9" t="s">
        <v>28</v>
      </c>
      <c r="L101" s="9">
        <v>1</v>
      </c>
      <c r="M101" s="9">
        <v>20</v>
      </c>
      <c r="N101" s="9">
        <f t="shared" si="42"/>
        <v>0</v>
      </c>
      <c r="O101" s="36">
        <v>1</v>
      </c>
      <c r="P101" s="9" t="s">
        <v>28</v>
      </c>
      <c r="Q101" s="9" t="s">
        <v>29</v>
      </c>
      <c r="R101" s="22"/>
      <c r="S101" s="19">
        <f t="shared" si="43"/>
        <v>11.37</v>
      </c>
      <c r="T101" s="37"/>
    </row>
    <row r="102" s="6" customFormat="1" ht="15.75" spans="1:20">
      <c r="A102" s="20"/>
      <c r="B102" s="13">
        <v>56</v>
      </c>
      <c r="C102" s="9" t="s">
        <v>66</v>
      </c>
      <c r="D102" s="9" t="s">
        <v>67</v>
      </c>
      <c r="E102" s="14" t="s">
        <v>68</v>
      </c>
      <c r="F102" s="26" t="s">
        <v>69</v>
      </c>
      <c r="G102" s="26" t="s">
        <v>70</v>
      </c>
      <c r="H102" s="27" t="s">
        <v>71</v>
      </c>
      <c r="I102" s="16">
        <v>60</v>
      </c>
      <c r="J102" s="17">
        <v>1.98</v>
      </c>
      <c r="K102" s="9" t="s">
        <v>28</v>
      </c>
      <c r="L102" s="13">
        <v>16</v>
      </c>
      <c r="M102" s="9">
        <v>20</v>
      </c>
      <c r="N102" s="13">
        <f t="shared" si="42"/>
        <v>0</v>
      </c>
      <c r="O102" s="13">
        <f t="shared" ref="O102:O113" si="44">L102-M102*N102</f>
        <v>16</v>
      </c>
      <c r="P102" s="9" t="s">
        <v>28</v>
      </c>
      <c r="Q102" s="9" t="s">
        <v>29</v>
      </c>
      <c r="R102" s="13" t="s">
        <v>30</v>
      </c>
      <c r="S102" s="29">
        <f>I102*J102+L102*2+N102*55+I103*J103+55</f>
        <v>439.43</v>
      </c>
      <c r="T102" s="5"/>
    </row>
    <row r="103" s="6" customFormat="1" ht="15.75" spans="1:20">
      <c r="A103" s="20"/>
      <c r="B103" s="22"/>
      <c r="C103" s="9" t="s">
        <v>72</v>
      </c>
      <c r="D103" s="9" t="s">
        <v>73</v>
      </c>
      <c r="E103" s="14" t="s">
        <v>68</v>
      </c>
      <c r="F103" s="31"/>
      <c r="G103" s="31"/>
      <c r="H103" s="32"/>
      <c r="I103" s="16">
        <v>61</v>
      </c>
      <c r="J103" s="17">
        <v>3.83</v>
      </c>
      <c r="K103" s="9" t="s">
        <v>28</v>
      </c>
      <c r="L103" s="22"/>
      <c r="M103" s="9">
        <v>20</v>
      </c>
      <c r="N103" s="22"/>
      <c r="O103" s="22"/>
      <c r="P103" s="9" t="s">
        <v>28</v>
      </c>
      <c r="Q103" s="9" t="s">
        <v>29</v>
      </c>
      <c r="R103" s="22"/>
      <c r="S103" s="34"/>
      <c r="T103" s="5"/>
    </row>
    <row r="104" s="6" customFormat="1" ht="15.75" spans="1:20">
      <c r="A104" s="22"/>
      <c r="B104" s="9">
        <v>57</v>
      </c>
      <c r="C104" s="9" t="s">
        <v>74</v>
      </c>
      <c r="D104" s="9" t="s">
        <v>75</v>
      </c>
      <c r="E104" s="14" t="s">
        <v>68</v>
      </c>
      <c r="F104" s="14" t="s">
        <v>69</v>
      </c>
      <c r="G104" s="14" t="s">
        <v>70</v>
      </c>
      <c r="H104" s="15" t="s">
        <v>71</v>
      </c>
      <c r="I104" s="16">
        <v>39</v>
      </c>
      <c r="J104" s="17">
        <v>5.69</v>
      </c>
      <c r="K104" s="9" t="s">
        <v>28</v>
      </c>
      <c r="L104" s="9">
        <v>16</v>
      </c>
      <c r="M104" s="9">
        <v>20</v>
      </c>
      <c r="N104" s="9">
        <f t="shared" ref="N104:N113" si="45">ROUNDDOWN(L104/M104,0)</f>
        <v>0</v>
      </c>
      <c r="O104" s="9">
        <f t="shared" si="44"/>
        <v>16</v>
      </c>
      <c r="P104" s="9" t="s">
        <v>28</v>
      </c>
      <c r="Q104" s="9" t="s">
        <v>29</v>
      </c>
      <c r="R104" s="9" t="s">
        <v>30</v>
      </c>
      <c r="S104" s="19">
        <f>I104*J104+L104*2+N104*55+55</f>
        <v>308.91</v>
      </c>
      <c r="T104" s="5"/>
    </row>
    <row r="106" s="5" customFormat="1" ht="31.5" spans="1:20">
      <c r="A106" s="9" t="s">
        <v>1</v>
      </c>
      <c r="B106" s="9" t="s">
        <v>2</v>
      </c>
      <c r="C106" s="9" t="s">
        <v>3</v>
      </c>
      <c r="D106" s="9" t="s">
        <v>4</v>
      </c>
      <c r="E106" s="9" t="s">
        <v>5</v>
      </c>
      <c r="F106" s="9" t="s">
        <v>6</v>
      </c>
      <c r="G106" s="9" t="s">
        <v>7</v>
      </c>
      <c r="H106" s="9" t="s">
        <v>8</v>
      </c>
      <c r="I106" s="9" t="s">
        <v>9</v>
      </c>
      <c r="J106" s="10" t="s">
        <v>10</v>
      </c>
      <c r="K106" s="10" t="s">
        <v>11</v>
      </c>
      <c r="L106" s="10" t="s">
        <v>12</v>
      </c>
      <c r="M106" s="10" t="s">
        <v>13</v>
      </c>
      <c r="N106" s="10" t="s">
        <v>14</v>
      </c>
      <c r="O106" s="11" t="s">
        <v>15</v>
      </c>
      <c r="P106" s="10" t="s">
        <v>16</v>
      </c>
      <c r="Q106" s="10" t="s">
        <v>17</v>
      </c>
      <c r="R106" s="10" t="s">
        <v>18</v>
      </c>
      <c r="S106" s="12" t="s">
        <v>19</v>
      </c>
      <c r="T106" s="11" t="s">
        <v>20</v>
      </c>
    </row>
    <row r="107" s="6" customFormat="1" ht="15.75" spans="1:20">
      <c r="A107" s="13" t="s">
        <v>86</v>
      </c>
      <c r="B107" s="9">
        <v>58</v>
      </c>
      <c r="C107" s="9" t="s">
        <v>87</v>
      </c>
      <c r="D107" s="9" t="s">
        <v>88</v>
      </c>
      <c r="E107" s="14" t="s">
        <v>86</v>
      </c>
      <c r="F107" s="14" t="s">
        <v>89</v>
      </c>
      <c r="G107" s="14" t="s">
        <v>90</v>
      </c>
      <c r="H107" s="15" t="s">
        <v>91</v>
      </c>
      <c r="I107" s="16">
        <v>3000</v>
      </c>
      <c r="J107" s="17">
        <v>0.13</v>
      </c>
      <c r="K107" s="9">
        <v>150</v>
      </c>
      <c r="L107" s="9">
        <f t="shared" ref="L107:L113" si="46">ROUNDUP(I107/K107,0)</f>
        <v>20</v>
      </c>
      <c r="M107" s="9">
        <v>20</v>
      </c>
      <c r="N107" s="9">
        <f t="shared" si="45"/>
        <v>1</v>
      </c>
      <c r="O107" s="9">
        <f t="shared" si="44"/>
        <v>0</v>
      </c>
      <c r="P107" s="9" t="s">
        <v>28</v>
      </c>
      <c r="Q107" s="9" t="s">
        <v>29</v>
      </c>
      <c r="R107" s="9" t="s">
        <v>30</v>
      </c>
      <c r="S107" s="19">
        <f t="shared" ref="S107:S113" si="47">I107*J107+L107*2+N107*55</f>
        <v>485</v>
      </c>
      <c r="T107" s="5"/>
    </row>
    <row r="108" s="6" customFormat="1" ht="15.75" spans="1:20">
      <c r="A108" s="20"/>
      <c r="B108" s="9">
        <v>59</v>
      </c>
      <c r="C108" s="9" t="s">
        <v>92</v>
      </c>
      <c r="D108" s="9" t="s">
        <v>93</v>
      </c>
      <c r="E108" s="14" t="s">
        <v>86</v>
      </c>
      <c r="F108" s="14" t="s">
        <v>94</v>
      </c>
      <c r="G108" s="14" t="s">
        <v>95</v>
      </c>
      <c r="H108" s="15" t="s">
        <v>96</v>
      </c>
      <c r="I108" s="16">
        <v>3000</v>
      </c>
      <c r="J108" s="17">
        <v>0.13</v>
      </c>
      <c r="K108" s="9">
        <v>150</v>
      </c>
      <c r="L108" s="9">
        <f t="shared" si="46"/>
        <v>20</v>
      </c>
      <c r="M108" s="9">
        <v>20</v>
      </c>
      <c r="N108" s="9">
        <f t="shared" si="45"/>
        <v>1</v>
      </c>
      <c r="O108" s="9">
        <f t="shared" si="44"/>
        <v>0</v>
      </c>
      <c r="P108" s="9" t="s">
        <v>28</v>
      </c>
      <c r="Q108" s="9" t="s">
        <v>29</v>
      </c>
      <c r="R108" s="9" t="s">
        <v>30</v>
      </c>
      <c r="S108" s="19">
        <f t="shared" si="47"/>
        <v>485</v>
      </c>
      <c r="T108" s="5"/>
    </row>
    <row r="109" s="6" customFormat="1" ht="15.75" spans="1:20">
      <c r="A109" s="20"/>
      <c r="B109" s="9">
        <v>60</v>
      </c>
      <c r="C109" s="9" t="s">
        <v>92</v>
      </c>
      <c r="D109" s="9" t="s">
        <v>93</v>
      </c>
      <c r="E109" s="14" t="s">
        <v>86</v>
      </c>
      <c r="F109" s="14" t="s">
        <v>94</v>
      </c>
      <c r="G109" s="14" t="s">
        <v>95</v>
      </c>
      <c r="H109" s="15" t="s">
        <v>96</v>
      </c>
      <c r="I109" s="16">
        <v>3000</v>
      </c>
      <c r="J109" s="17">
        <v>0.13</v>
      </c>
      <c r="K109" s="9">
        <v>150</v>
      </c>
      <c r="L109" s="9">
        <f t="shared" si="46"/>
        <v>20</v>
      </c>
      <c r="M109" s="9">
        <v>20</v>
      </c>
      <c r="N109" s="9">
        <f t="shared" si="45"/>
        <v>1</v>
      </c>
      <c r="O109" s="9">
        <f t="shared" si="44"/>
        <v>0</v>
      </c>
      <c r="P109" s="9" t="s">
        <v>28</v>
      </c>
      <c r="Q109" s="9" t="s">
        <v>29</v>
      </c>
      <c r="R109" s="9" t="s">
        <v>30</v>
      </c>
      <c r="S109" s="19">
        <f t="shared" si="47"/>
        <v>485</v>
      </c>
      <c r="T109" s="5"/>
    </row>
    <row r="110" s="6" customFormat="1" ht="15.75" spans="1:20">
      <c r="A110" s="20"/>
      <c r="B110" s="9">
        <v>61</v>
      </c>
      <c r="C110" s="9" t="s">
        <v>92</v>
      </c>
      <c r="D110" s="9" t="s">
        <v>93</v>
      </c>
      <c r="E110" s="14" t="s">
        <v>86</v>
      </c>
      <c r="F110" s="14" t="s">
        <v>94</v>
      </c>
      <c r="G110" s="14" t="s">
        <v>95</v>
      </c>
      <c r="H110" s="15" t="s">
        <v>96</v>
      </c>
      <c r="I110" s="16">
        <v>3000</v>
      </c>
      <c r="J110" s="17">
        <v>0.13</v>
      </c>
      <c r="K110" s="9">
        <v>150</v>
      </c>
      <c r="L110" s="9">
        <f t="shared" si="46"/>
        <v>20</v>
      </c>
      <c r="M110" s="9">
        <v>20</v>
      </c>
      <c r="N110" s="9">
        <f t="shared" si="45"/>
        <v>1</v>
      </c>
      <c r="O110" s="9">
        <f t="shared" si="44"/>
        <v>0</v>
      </c>
      <c r="P110" s="9" t="s">
        <v>28</v>
      </c>
      <c r="Q110" s="9" t="s">
        <v>29</v>
      </c>
      <c r="R110" s="9" t="s">
        <v>30</v>
      </c>
      <c r="S110" s="19">
        <f t="shared" si="47"/>
        <v>485</v>
      </c>
      <c r="T110" s="5"/>
    </row>
    <row r="111" s="6" customFormat="1" ht="15.75" spans="1:20">
      <c r="A111" s="20"/>
      <c r="B111" s="9">
        <v>62</v>
      </c>
      <c r="C111" s="9" t="s">
        <v>92</v>
      </c>
      <c r="D111" s="9" t="s">
        <v>93</v>
      </c>
      <c r="E111" s="14" t="s">
        <v>86</v>
      </c>
      <c r="F111" s="14" t="s">
        <v>94</v>
      </c>
      <c r="G111" s="14" t="s">
        <v>95</v>
      </c>
      <c r="H111" s="15" t="s">
        <v>96</v>
      </c>
      <c r="I111" s="16">
        <v>3000</v>
      </c>
      <c r="J111" s="17">
        <v>0.13</v>
      </c>
      <c r="K111" s="9">
        <v>150</v>
      </c>
      <c r="L111" s="9">
        <f t="shared" si="46"/>
        <v>20</v>
      </c>
      <c r="M111" s="9">
        <v>20</v>
      </c>
      <c r="N111" s="9">
        <f t="shared" si="45"/>
        <v>1</v>
      </c>
      <c r="O111" s="9">
        <f t="shared" si="44"/>
        <v>0</v>
      </c>
      <c r="P111" s="9" t="s">
        <v>28</v>
      </c>
      <c r="Q111" s="9" t="s">
        <v>29</v>
      </c>
      <c r="R111" s="9" t="s">
        <v>30</v>
      </c>
      <c r="S111" s="19">
        <f t="shared" si="47"/>
        <v>485</v>
      </c>
      <c r="T111" s="5"/>
    </row>
    <row r="112" s="6" customFormat="1" ht="15.75" spans="1:20">
      <c r="A112" s="20"/>
      <c r="B112" s="9">
        <v>63</v>
      </c>
      <c r="C112" s="9" t="s">
        <v>92</v>
      </c>
      <c r="D112" s="9" t="s">
        <v>93</v>
      </c>
      <c r="E112" s="14" t="s">
        <v>86</v>
      </c>
      <c r="F112" s="14" t="s">
        <v>94</v>
      </c>
      <c r="G112" s="14" t="s">
        <v>95</v>
      </c>
      <c r="H112" s="15" t="s">
        <v>96</v>
      </c>
      <c r="I112" s="16">
        <v>3000</v>
      </c>
      <c r="J112" s="17">
        <v>0.13</v>
      </c>
      <c r="K112" s="9">
        <v>150</v>
      </c>
      <c r="L112" s="9">
        <f t="shared" si="46"/>
        <v>20</v>
      </c>
      <c r="M112" s="9">
        <v>20</v>
      </c>
      <c r="N112" s="9">
        <f t="shared" si="45"/>
        <v>1</v>
      </c>
      <c r="O112" s="9">
        <f t="shared" si="44"/>
        <v>0</v>
      </c>
      <c r="P112" s="9" t="s">
        <v>28</v>
      </c>
      <c r="Q112" s="9" t="s">
        <v>29</v>
      </c>
      <c r="R112" s="9" t="s">
        <v>30</v>
      </c>
      <c r="S112" s="19">
        <f t="shared" si="47"/>
        <v>485</v>
      </c>
      <c r="T112" s="5"/>
    </row>
    <row r="113" s="6" customFormat="1" ht="15.75" spans="1:20">
      <c r="A113" s="22"/>
      <c r="B113" s="9">
        <v>64</v>
      </c>
      <c r="C113" s="9" t="s">
        <v>97</v>
      </c>
      <c r="D113" s="9" t="s">
        <v>98</v>
      </c>
      <c r="E113" s="14" t="s">
        <v>86</v>
      </c>
      <c r="F113" s="14" t="s">
        <v>99</v>
      </c>
      <c r="G113" s="14" t="s">
        <v>100</v>
      </c>
      <c r="H113" s="15" t="s">
        <v>101</v>
      </c>
      <c r="I113" s="16">
        <v>1000</v>
      </c>
      <c r="J113" s="17">
        <v>0.31</v>
      </c>
      <c r="K113" s="9">
        <v>70</v>
      </c>
      <c r="L113" s="9">
        <f t="shared" si="46"/>
        <v>15</v>
      </c>
      <c r="M113" s="9">
        <v>20</v>
      </c>
      <c r="N113" s="9">
        <f t="shared" si="45"/>
        <v>0</v>
      </c>
      <c r="O113" s="64">
        <f t="shared" si="44"/>
        <v>15</v>
      </c>
      <c r="P113" s="9">
        <f>I113-(L113-1)*K113</f>
        <v>20</v>
      </c>
      <c r="Q113" s="9" t="s">
        <v>29</v>
      </c>
      <c r="R113" s="9" t="s">
        <v>30</v>
      </c>
      <c r="S113" s="19">
        <f>I113*J113+L113*2+N113*55+55</f>
        <v>395</v>
      </c>
      <c r="T113" s="65"/>
    </row>
  </sheetData>
  <mergeCells count="104">
    <mergeCell ref="A2:A23"/>
    <mergeCell ref="A26:A45"/>
    <mergeCell ref="A48:A62"/>
    <mergeCell ref="A65:A84"/>
    <mergeCell ref="A87:A104"/>
    <mergeCell ref="A107:A113"/>
    <mergeCell ref="B4:B5"/>
    <mergeCell ref="B10:B11"/>
    <mergeCell ref="B14:B15"/>
    <mergeCell ref="B16:B22"/>
    <mergeCell ref="B31:B32"/>
    <mergeCell ref="B36:B37"/>
    <mergeCell ref="B38:B39"/>
    <mergeCell ref="B41:B45"/>
    <mergeCell ref="B52:B53"/>
    <mergeCell ref="B58:B59"/>
    <mergeCell ref="B60:B62"/>
    <mergeCell ref="B67:B68"/>
    <mergeCell ref="B74:B78"/>
    <mergeCell ref="B79:B81"/>
    <mergeCell ref="B82:B84"/>
    <mergeCell ref="B92:B93"/>
    <mergeCell ref="B94:B101"/>
    <mergeCell ref="B102:B103"/>
    <mergeCell ref="F14:F15"/>
    <mergeCell ref="F18:F22"/>
    <mergeCell ref="F38:F39"/>
    <mergeCell ref="F43:F45"/>
    <mergeCell ref="F61:F62"/>
    <mergeCell ref="F80:F81"/>
    <mergeCell ref="F82:F84"/>
    <mergeCell ref="F100:F101"/>
    <mergeCell ref="F102:F103"/>
    <mergeCell ref="G14:G15"/>
    <mergeCell ref="G18:G22"/>
    <mergeCell ref="G38:G39"/>
    <mergeCell ref="G43:G45"/>
    <mergeCell ref="G61:G62"/>
    <mergeCell ref="G80:G81"/>
    <mergeCell ref="G82:G84"/>
    <mergeCell ref="G100:G101"/>
    <mergeCell ref="G102:G103"/>
    <mergeCell ref="H14:H15"/>
    <mergeCell ref="H18:H22"/>
    <mergeCell ref="H38:H39"/>
    <mergeCell ref="H43:H45"/>
    <mergeCell ref="H61:H62"/>
    <mergeCell ref="H80:H81"/>
    <mergeCell ref="H82:H84"/>
    <mergeCell ref="H100:H101"/>
    <mergeCell ref="H102:H103"/>
    <mergeCell ref="L14:L15"/>
    <mergeCell ref="L18:L19"/>
    <mergeCell ref="L38:L39"/>
    <mergeCell ref="L43:L44"/>
    <mergeCell ref="L61:L62"/>
    <mergeCell ref="L80:L81"/>
    <mergeCell ref="L102:L103"/>
    <mergeCell ref="N14:N15"/>
    <mergeCell ref="N18:N19"/>
    <mergeCell ref="N38:N39"/>
    <mergeCell ref="N43:N44"/>
    <mergeCell ref="N61:N62"/>
    <mergeCell ref="N80:N81"/>
    <mergeCell ref="N102:N103"/>
    <mergeCell ref="O14:O15"/>
    <mergeCell ref="O18:O19"/>
    <mergeCell ref="O38:O39"/>
    <mergeCell ref="O43:O44"/>
    <mergeCell ref="O61:O62"/>
    <mergeCell ref="O80:O81"/>
    <mergeCell ref="O102:O103"/>
    <mergeCell ref="R4:R5"/>
    <mergeCell ref="R14:R15"/>
    <mergeCell ref="R16:R22"/>
    <mergeCell ref="R31:R32"/>
    <mergeCell ref="R36:R37"/>
    <mergeCell ref="R38:R39"/>
    <mergeCell ref="R41:R45"/>
    <mergeCell ref="R52:R53"/>
    <mergeCell ref="R58:R59"/>
    <mergeCell ref="R60:R62"/>
    <mergeCell ref="R67:R68"/>
    <mergeCell ref="R74:R78"/>
    <mergeCell ref="R79:R81"/>
    <mergeCell ref="R82:R84"/>
    <mergeCell ref="R92:R93"/>
    <mergeCell ref="R94:R101"/>
    <mergeCell ref="R102:R103"/>
    <mergeCell ref="S14:S15"/>
    <mergeCell ref="S18:S19"/>
    <mergeCell ref="S38:S39"/>
    <mergeCell ref="S43:S44"/>
    <mergeCell ref="S61:S62"/>
    <mergeCell ref="S80:S81"/>
    <mergeCell ref="S102:S103"/>
    <mergeCell ref="T16:T22"/>
    <mergeCell ref="T41:T45"/>
    <mergeCell ref="T60:T62"/>
    <mergeCell ref="T74:T78"/>
    <mergeCell ref="T79:T81"/>
    <mergeCell ref="T90:T91"/>
    <mergeCell ref="T92:T93"/>
    <mergeCell ref="T94:T95"/>
  </mergeCells>
  <pageMargins left="0.75" right="0.75" top="1" bottom="1" header="0.5" footer="0.5"/>
  <headerFooter/>
  <ignoredErrors>
    <ignoredError sqref="S67:S74 S52 S31 S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49"/>
  <sheetViews>
    <sheetView tabSelected="1" zoomScale="85" zoomScaleNormal="85" workbookViewId="0">
      <selection activeCell="N18" sqref="N18"/>
    </sheetView>
  </sheetViews>
  <sheetFormatPr defaultColWidth="9" defaultRowHeight="13.5" outlineLevelCol="3"/>
  <cols>
    <col min="1" max="1" width="14.875"/>
    <col min="2" max="2" width="22.625"/>
    <col min="3" max="3" width="36"/>
    <col min="4" max="4" width="18.375"/>
  </cols>
  <sheetData>
    <row r="3" spans="1:4">
      <c r="A3" t="s">
        <v>111</v>
      </c>
      <c r="B3" t="s">
        <v>6</v>
      </c>
      <c r="C3" t="s">
        <v>7</v>
      </c>
      <c r="D3" t="s">
        <v>112</v>
      </c>
    </row>
    <row r="4" spans="1:4">
      <c r="A4" t="s">
        <v>47</v>
      </c>
      <c r="B4"/>
      <c r="C4"/>
      <c r="D4">
        <v>9</v>
      </c>
    </row>
    <row r="5" spans="1:4">
      <c r="B5" t="s">
        <v>48</v>
      </c>
      <c r="C5"/>
      <c r="D5">
        <v>9</v>
      </c>
    </row>
    <row r="6" spans="1:4">
      <c r="C6" t="s">
        <v>49</v>
      </c>
      <c r="D6">
        <v>9</v>
      </c>
    </row>
    <row r="7" spans="1:4">
      <c r="A7" t="s">
        <v>52</v>
      </c>
      <c r="B7"/>
      <c r="C7"/>
      <c r="D7">
        <v>9</v>
      </c>
    </row>
    <row r="8" spans="1:4">
      <c r="B8" t="s">
        <v>53</v>
      </c>
      <c r="C8"/>
      <c r="D8">
        <v>9</v>
      </c>
    </row>
    <row r="9" spans="1:4">
      <c r="C9" t="s">
        <v>54</v>
      </c>
      <c r="D9">
        <v>9</v>
      </c>
    </row>
    <row r="10" spans="1:4">
      <c r="A10" t="s">
        <v>57</v>
      </c>
      <c r="B10"/>
      <c r="C10"/>
      <c r="D10">
        <v>39</v>
      </c>
    </row>
    <row r="11" spans="1:4">
      <c r="B11" t="s">
        <v>58</v>
      </c>
      <c r="C11"/>
      <c r="D11">
        <v>39</v>
      </c>
    </row>
    <row r="12" spans="1:4">
      <c r="C12" t="s">
        <v>59</v>
      </c>
      <c r="D12">
        <v>39</v>
      </c>
    </row>
    <row r="13" spans="1:4">
      <c r="A13" t="s">
        <v>62</v>
      </c>
      <c r="B13"/>
      <c r="C13"/>
      <c r="D13">
        <v>39</v>
      </c>
    </row>
    <row r="14" spans="1:4">
      <c r="B14" t="s">
        <v>63</v>
      </c>
      <c r="C14"/>
      <c r="D14">
        <v>39</v>
      </c>
    </row>
    <row r="15" spans="1:4">
      <c r="C15" t="s">
        <v>64</v>
      </c>
      <c r="D15">
        <v>39</v>
      </c>
    </row>
    <row r="16" spans="1:4">
      <c r="A16" t="s">
        <v>23</v>
      </c>
      <c r="B16"/>
      <c r="C16"/>
      <c r="D16">
        <v>523</v>
      </c>
    </row>
    <row r="17" spans="1:4">
      <c r="B17" t="s">
        <v>25</v>
      </c>
      <c r="C17"/>
      <c r="D17">
        <v>523</v>
      </c>
    </row>
    <row r="18" spans="1:4">
      <c r="C18" t="s">
        <v>26</v>
      </c>
      <c r="D18">
        <v>523</v>
      </c>
    </row>
    <row r="19" spans="1:4">
      <c r="A19" t="s">
        <v>32</v>
      </c>
      <c r="B19"/>
      <c r="C19"/>
      <c r="D19">
        <v>523</v>
      </c>
    </row>
    <row r="20" spans="1:4">
      <c r="B20" t="s">
        <v>33</v>
      </c>
      <c r="C20"/>
      <c r="D20">
        <v>523</v>
      </c>
    </row>
    <row r="21" spans="1:4">
      <c r="C21" t="s">
        <v>34</v>
      </c>
      <c r="D21">
        <v>523</v>
      </c>
    </row>
    <row r="22" spans="1:4">
      <c r="A22" t="s">
        <v>37</v>
      </c>
      <c r="D22">
        <v>494</v>
      </c>
    </row>
    <row r="23" spans="1:4">
      <c r="B23" t="s">
        <v>38</v>
      </c>
      <c r="C23"/>
      <c r="D23">
        <v>494</v>
      </c>
    </row>
    <row r="24" spans="1:4">
      <c r="C24" t="s">
        <v>39</v>
      </c>
      <c r="D24">
        <v>494</v>
      </c>
    </row>
    <row r="25" spans="1:4">
      <c r="A25" t="s">
        <v>42</v>
      </c>
      <c r="B25"/>
      <c r="C25"/>
      <c r="D25">
        <v>494</v>
      </c>
    </row>
    <row r="26" spans="1:4">
      <c r="B26" t="s">
        <v>43</v>
      </c>
      <c r="C26"/>
      <c r="D26">
        <v>494</v>
      </c>
    </row>
    <row r="27" spans="1:4">
      <c r="C27" t="s">
        <v>44</v>
      </c>
      <c r="D27">
        <v>494</v>
      </c>
    </row>
    <row r="28" spans="1:4">
      <c r="A28" t="s">
        <v>88</v>
      </c>
      <c r="D28">
        <v>3000</v>
      </c>
    </row>
    <row r="29" spans="1:4">
      <c r="B29" t="s">
        <v>89</v>
      </c>
      <c r="C29"/>
      <c r="D29">
        <v>3000</v>
      </c>
    </row>
    <row r="30" spans="1:4">
      <c r="C30" t="s">
        <v>90</v>
      </c>
      <c r="D30">
        <v>3000</v>
      </c>
    </row>
    <row r="31" spans="1:4">
      <c r="A31" t="s">
        <v>93</v>
      </c>
      <c r="B31"/>
      <c r="C31"/>
      <c r="D31">
        <v>15000</v>
      </c>
    </row>
    <row r="32" spans="1:4">
      <c r="B32" t="s">
        <v>94</v>
      </c>
      <c r="C32"/>
      <c r="D32">
        <v>15000</v>
      </c>
    </row>
    <row r="33" spans="1:4">
      <c r="C33" t="s">
        <v>95</v>
      </c>
      <c r="D33">
        <v>15000</v>
      </c>
    </row>
    <row r="34" spans="1:4">
      <c r="A34" t="s">
        <v>98</v>
      </c>
      <c r="B34"/>
      <c r="C34"/>
      <c r="D34">
        <v>1000</v>
      </c>
    </row>
    <row r="35" spans="1:4">
      <c r="B35" t="s">
        <v>99</v>
      </c>
      <c r="C35"/>
      <c r="D35">
        <v>1000</v>
      </c>
    </row>
    <row r="36" spans="1:4">
      <c r="C36" t="s">
        <v>100</v>
      </c>
      <c r="D36">
        <v>1000</v>
      </c>
    </row>
    <row r="37" spans="1:4">
      <c r="A37" t="s">
        <v>67</v>
      </c>
      <c r="B37"/>
      <c r="C37"/>
      <c r="D37">
        <v>389</v>
      </c>
    </row>
    <row r="38" spans="1:4">
      <c r="B38" t="s">
        <v>69</v>
      </c>
      <c r="C38"/>
      <c r="D38">
        <v>389</v>
      </c>
    </row>
    <row r="39" spans="1:4">
      <c r="C39" t="s">
        <v>70</v>
      </c>
      <c r="D39">
        <v>389</v>
      </c>
    </row>
    <row r="40" spans="1:4">
      <c r="A40" t="s">
        <v>75</v>
      </c>
      <c r="D40">
        <v>256</v>
      </c>
    </row>
    <row r="41" spans="1:4">
      <c r="B41" t="s">
        <v>69</v>
      </c>
      <c r="C41"/>
      <c r="D41">
        <v>256</v>
      </c>
    </row>
    <row r="42" spans="1:4">
      <c r="C42" t="s">
        <v>70</v>
      </c>
      <c r="D42">
        <v>256</v>
      </c>
    </row>
    <row r="43" spans="1:4">
      <c r="A43" t="s">
        <v>77</v>
      </c>
      <c r="B43"/>
      <c r="D43">
        <v>13</v>
      </c>
    </row>
    <row r="44" spans="1:4">
      <c r="B44" t="s">
        <v>69</v>
      </c>
      <c r="C44"/>
      <c r="D44">
        <v>13</v>
      </c>
    </row>
    <row r="45" spans="1:4">
      <c r="C45" t="s">
        <v>70</v>
      </c>
      <c r="D45">
        <v>13</v>
      </c>
    </row>
    <row r="46" spans="1:4">
      <c r="A46" t="s">
        <v>111</v>
      </c>
      <c r="B46"/>
      <c r="D46">
        <v>0</v>
      </c>
    </row>
    <row r="47" spans="1:4">
      <c r="B47" t="s">
        <v>6</v>
      </c>
      <c r="C47"/>
      <c r="D47">
        <v>0</v>
      </c>
    </row>
    <row r="48" spans="1:4">
      <c r="C48" t="s">
        <v>7</v>
      </c>
      <c r="D48">
        <v>0</v>
      </c>
    </row>
    <row r="49" spans="1:4">
      <c r="A49" t="s">
        <v>113</v>
      </c>
      <c r="B49"/>
      <c r="D49">
        <v>21788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B3" sqref="B3"/>
    </sheetView>
  </sheetViews>
  <sheetFormatPr defaultColWidth="9" defaultRowHeight="13.5" outlineLevelRow="2"/>
  <cols>
    <col min="1" max="1" width="5.25" customWidth="1"/>
    <col min="2" max="2" width="11" customWidth="1"/>
    <col min="3" max="3" width="12.875" customWidth="1"/>
    <col min="4" max="4" width="21" customWidth="1"/>
    <col min="5" max="5" width="18.5" customWidth="1"/>
    <col min="6" max="6" width="12.25" customWidth="1"/>
    <col min="7" max="7" width="32.875" customWidth="1"/>
    <col min="8" max="8" width="19.5" customWidth="1"/>
    <col min="9" max="9" width="18.875" customWidth="1"/>
    <col min="10" max="10" width="16" customWidth="1"/>
  </cols>
  <sheetData>
    <row r="1" ht="18" spans="1:10">
      <c r="A1" s="1" t="s">
        <v>2</v>
      </c>
      <c r="B1" s="1" t="s">
        <v>114</v>
      </c>
      <c r="C1" s="1" t="s">
        <v>115</v>
      </c>
      <c r="D1" s="1" t="s">
        <v>116</v>
      </c>
      <c r="E1" s="1" t="s">
        <v>109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ht="18" spans="1:10">
      <c r="A2" s="1">
        <v>1</v>
      </c>
      <c r="B2" s="1" t="s">
        <v>122</v>
      </c>
      <c r="C2" s="2">
        <v>14940.77</v>
      </c>
      <c r="D2" s="3">
        <f>1.15*1.15*1.215*37</f>
        <v>59.4529875</v>
      </c>
      <c r="E2" s="1" t="s">
        <v>123</v>
      </c>
      <c r="F2" s="1">
        <v>706</v>
      </c>
      <c r="G2" s="1" t="s">
        <v>124</v>
      </c>
      <c r="H2" s="1"/>
      <c r="I2" s="1"/>
      <c r="J2" s="1"/>
    </row>
    <row r="3" ht="18" spans="1:10">
      <c r="A3" s="1">
        <v>2</v>
      </c>
      <c r="B3" s="2" t="s">
        <v>125</v>
      </c>
      <c r="C3" s="4">
        <v>11325.28</v>
      </c>
      <c r="D3" s="3">
        <f>1.15*1.15*1.215*27</f>
        <v>43.3846125</v>
      </c>
      <c r="E3" s="1" t="s">
        <v>123</v>
      </c>
      <c r="F3" s="2">
        <v>515</v>
      </c>
      <c r="G3" s="1" t="s">
        <v>124</v>
      </c>
      <c r="H3" s="1"/>
      <c r="I3" s="1"/>
      <c r="J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Sheet5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</dc:creator>
  <cp:lastModifiedBy>Freundschaftfürimmer</cp:lastModifiedBy>
  <dcterms:created xsi:type="dcterms:W3CDTF">2026-09-17T11:29:00Z</dcterms:created>
  <dcterms:modified xsi:type="dcterms:W3CDTF">2026-09-21T13:09:19Z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17355C37425F4552B7A570F39E400225_11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