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\\10.10.70.225\客服部\订单文件\美加欧区\刘丹\N20 Nextpower\N20-260728, Wichita Project Golden Row\N20-260728-4th BKKGX5670700\包装唛头\"/>
    </mc:Choice>
  </mc:AlternateContent>
  <bookViews>
    <workbookView windowWidth="28800" windowHeight="12255" activeTab="5"/>
  </bookViews>
  <sheets>
    <sheet name="Block 13-15&amp;23 Packing List " sheetId="16" r:id="rId1"/>
    <sheet name="1号" sheetId="17" r:id="rId2"/>
    <sheet name="Batch_01_ Remaining PPH+N_S" sheetId="13" state="hidden" r:id="rId3"/>
    <sheet name="Batch_01-1st E_W" sheetId="7" state="hidden" r:id="rId4"/>
    <sheet name="8.10 Batch_01-1st" sheetId="8" state="hidden" r:id="rId5"/>
    <sheet name="2号" sheetId="18" r:id="rId6"/>
    <sheet name="3号" sheetId="19" r:id="rId7"/>
    <sheet name="Batch_01_GW" sheetId="6" r:id="rId8"/>
  </sheets>
  <definedNames>
    <definedName name="_xlnm._FilterDatabase" localSheetId="0" hidden="1">'Block 13-15&amp;23 Packing List '!$AO$1:$AS$100</definedName>
    <definedName name="_xlnm._FilterDatabase" localSheetId="1" hidden="1">'1号'!$AO$1:$AR$49</definedName>
    <definedName name="_xlnm._FilterDatabase" localSheetId="2" hidden="1">'Batch_01_ Remaining PPH+N_S'!$B$1:$B$49</definedName>
    <definedName name="_xlnm._FilterDatabase" localSheetId="3" hidden="1">'Batch_01-1st E_W'!$A$1:$K$88</definedName>
    <definedName name="_xlnm._FilterDatabase" localSheetId="4" hidden="1">'8.10 Batch_01-1st'!$B$1:$B$29</definedName>
    <definedName name="_xlnm._FilterDatabase" localSheetId="5" hidden="1">'2号'!$AO$1:$AP$46</definedName>
    <definedName name="_xlnm._FilterDatabase" localSheetId="6" hidden="1">'3号'!$AO$1:$AU$100</definedName>
    <definedName name="_xlnm._FilterDatabase" localSheetId="7" hidden="1">Batch_01_GW!$A$3:$BT$44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<sst xmlns="http://schemas.openxmlformats.org/spreadsheetml/2006/main" count="2039" uniqueCount="373">
  <si>
    <t>COMBINER BOX NO.</t>
  </si>
  <si>
    <t>BOX  TYPE</t>
  </si>
  <si>
    <t>Harness Qty</t>
  </si>
  <si>
    <t>PPH</t>
  </si>
  <si>
    <t xml:space="preserve">SH </t>
  </si>
  <si>
    <r>
      <rPr>
        <sz val="11"/>
        <color theme="1"/>
        <rFont val="宋体"/>
        <charset val="134"/>
      </rPr>
      <t>单列</t>
    </r>
  </si>
  <si>
    <t>Drum Size</t>
  </si>
  <si>
    <t>QTY 1</t>
  </si>
  <si>
    <r>
      <rPr>
        <sz val="11"/>
        <color theme="1"/>
        <rFont val="宋体"/>
        <charset val="134"/>
      </rPr>
      <t>阵列汇总</t>
    </r>
    <r>
      <rPr>
        <sz val="11"/>
        <color theme="1"/>
        <rFont val="Calibri"/>
        <charset val="134"/>
      </rPr>
      <t>EW</t>
    </r>
  </si>
  <si>
    <t>QTY 2</t>
  </si>
  <si>
    <t>10 -1 T1</t>
  </si>
  <si>
    <t>10 -1 T2</t>
  </si>
  <si>
    <t>10 -1 T3</t>
  </si>
  <si>
    <t>10 -1 T4</t>
  </si>
  <si>
    <t>10 -1 T5</t>
  </si>
  <si>
    <t>10 -1 T6</t>
  </si>
  <si>
    <t>9-1 T1</t>
  </si>
  <si>
    <t>9-1 T2</t>
  </si>
  <si>
    <t>9-1 T3</t>
  </si>
  <si>
    <t>9-1 T4</t>
  </si>
  <si>
    <t>9-1 T5</t>
  </si>
  <si>
    <t>9-1 T6</t>
  </si>
  <si>
    <t>9-1 T7</t>
  </si>
  <si>
    <t>9-1 T8</t>
  </si>
  <si>
    <t>9-1 T9</t>
  </si>
  <si>
    <t>9-1 T10</t>
  </si>
  <si>
    <t>5-1 T1</t>
  </si>
  <si>
    <t>5-1 T2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</si>
  <si>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</si>
  <si>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</si>
  <si>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</si>
  <si>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</si>
  <si>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</si>
  <si>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</si>
  <si>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</si>
  <si>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</si>
  <si>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</si>
  <si>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</si>
  <si>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</si>
  <si>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EW1</t>
  </si>
  <si>
    <t>EW2</t>
  </si>
  <si>
    <t>EW3</t>
  </si>
  <si>
    <t>EW4</t>
  </si>
  <si>
    <t>EW5</t>
  </si>
  <si>
    <t>EW6</t>
  </si>
  <si>
    <t>EW7</t>
  </si>
  <si>
    <t>PPH-10.P.RED.5.00001</t>
  </si>
  <si>
    <t>PPH-10.P.RED.5.00002</t>
  </si>
  <si>
    <t>PPH-10.P.RED.5.00003</t>
  </si>
  <si>
    <t>PPH-10.P.RED.5.00004</t>
  </si>
  <si>
    <t>PPH-10.P.RED.5.00005</t>
  </si>
  <si>
    <t>PPH-10.P.RED.5.00006</t>
  </si>
  <si>
    <t>PPH-9.P.RED.5.00003</t>
  </si>
  <si>
    <t>PPH-9.P.RED.5.00004</t>
  </si>
  <si>
    <t>PPH-9.P.RED.5.00005</t>
  </si>
  <si>
    <t>PPH-9.P.RED.5.00006</t>
  </si>
  <si>
    <t>PPH-9.P.RED.5.00007</t>
  </si>
  <si>
    <t>PPH-9.P.RED.5.00008</t>
  </si>
  <si>
    <t>PPH-9.P.RED.5.00009</t>
  </si>
  <si>
    <t>PPH-9.P.RED.5.00010</t>
  </si>
  <si>
    <t>PPH-9.P.RED.5.00011</t>
  </si>
  <si>
    <t>PPH-9.P.RED.5.00012</t>
  </si>
  <si>
    <t>PPH-5.P.RED.5.00001</t>
  </si>
  <si>
    <t>PPH-5.P.RED.5.00002</t>
  </si>
  <si>
    <t>SH-2.8.RED.BLK.00002</t>
  </si>
  <si>
    <t>SH-2.8.RED.BLK.00003</t>
  </si>
  <si>
    <t>SH-2.8.RED.BLK.00004</t>
  </si>
  <si>
    <t>SH-2.8.RED.BLK.00005</t>
  </si>
  <si>
    <t>SH-2.8.RED.BLK.00006</t>
  </si>
  <si>
    <t>SH-2.8.RED.BLK.00007</t>
  </si>
  <si>
    <t>SH-2.8.RED.BLK.00008</t>
  </si>
  <si>
    <t>SH-2.8.RED.BLK.00009</t>
  </si>
  <si>
    <t>SH-2.8.RED.BLK.00010</t>
  </si>
  <si>
    <t>SH-2.8.RED.BLK.00011</t>
  </si>
  <si>
    <t>SH-2.8.RED.BLK.00012</t>
  </si>
  <si>
    <t>SH-2.8.RED.BLK.00013</t>
  </si>
  <si>
    <t>SH-2.8.RED.BLK.00014</t>
  </si>
  <si>
    <t>SH-2.8.RED.BLK.00015</t>
  </si>
  <si>
    <t>SH-2.8.RED.BLK.00016</t>
  </si>
  <si>
    <t>SH-2.8.RED.BLK.00017</t>
  </si>
  <si>
    <t>SH-2.8.RED.BLK.00018</t>
  </si>
  <si>
    <t>SH-2.8.RED.BLK.00019</t>
  </si>
  <si>
    <t>PPH-10.N.BLK.0.00002</t>
  </si>
  <si>
    <t>PPH-10.N.BLK.0.00003</t>
  </si>
  <si>
    <t>PPH-10.N.BLK.0.00004</t>
  </si>
  <si>
    <t>PPH-10.N.BLK.0.00005</t>
  </si>
  <si>
    <t>PPH-10.N.BLK.0.00006</t>
  </si>
  <si>
    <t>PPH-10.N.BLK.0.00007</t>
  </si>
  <si>
    <t>PPH-9.N.BLK.0.00003</t>
  </si>
  <si>
    <t>PPH-9.N.BLK.0.00004</t>
  </si>
  <si>
    <t>PPH-9.N.BLK.0.00005</t>
  </si>
  <si>
    <t>PPH-9.N.BLK.0.00006</t>
  </si>
  <si>
    <t>PPH-9.N.BLK.0.00007</t>
  </si>
  <si>
    <t>PPH-9.N.BLK.0.00008</t>
  </si>
  <si>
    <t>PPH-9.N.BLK.0.00009</t>
  </si>
  <si>
    <t>PPH-9.N.BLK.0.00010</t>
  </si>
  <si>
    <t>PPH-9.N.BLK.0.00011</t>
  </si>
  <si>
    <t>PPH-9.N.BLK.0.00012</t>
  </si>
  <si>
    <t>PPH-5.N.BLK.0.00015</t>
  </si>
  <si>
    <t>PPH-5.N.BLK.0.00016</t>
  </si>
  <si>
    <t>CMB.013.3.01</t>
  </si>
  <si>
    <t>108A</t>
  </si>
  <si>
    <t>1000*350*500</t>
  </si>
  <si>
    <t>750*350*500</t>
  </si>
  <si>
    <t>CMB.013.3.02</t>
  </si>
  <si>
    <t>CMB.013.3.03</t>
  </si>
  <si>
    <t>72A</t>
  </si>
  <si>
    <t>CMB.013.3.04</t>
  </si>
  <si>
    <t>CMB.013.4.05</t>
  </si>
  <si>
    <t>CMB.013.4.06</t>
  </si>
  <si>
    <t>CMB.013.4.07</t>
  </si>
  <si>
    <t>CMB.013.4.08</t>
  </si>
  <si>
    <t>CMB.013.4.09</t>
  </si>
  <si>
    <t>CMB.013.2.10</t>
  </si>
  <si>
    <t>64A</t>
  </si>
  <si>
    <t>CMB.013.2.11</t>
  </si>
  <si>
    <t>64B</t>
  </si>
  <si>
    <t>CMB.013.1.12</t>
  </si>
  <si>
    <t>72B</t>
  </si>
  <si>
    <t>CMB.013.1.13</t>
  </si>
  <si>
    <t>CMB.013.1.14</t>
  </si>
  <si>
    <t>CMB.013.1.15</t>
  </si>
  <si>
    <t>CMB.013.1.16</t>
  </si>
  <si>
    <t>CMB.013.2.17</t>
  </si>
  <si>
    <t>CMB.013.2.18</t>
  </si>
  <si>
    <t>CMB.013.2.19</t>
  </si>
  <si>
    <t>CMB.013.3.20</t>
  </si>
  <si>
    <t>CMB.014.3.01</t>
  </si>
  <si>
    <t>CMB.014.3.02</t>
  </si>
  <si>
    <t>CMB.014.3.03</t>
  </si>
  <si>
    <t>CMB.014.3.04</t>
  </si>
  <si>
    <t>CMB.014.4.05</t>
  </si>
  <si>
    <t>CMB.014.4.06</t>
  </si>
  <si>
    <t>CMB.014.4.07</t>
  </si>
  <si>
    <t>CMB.014.4.08</t>
  </si>
  <si>
    <t>CMB.014.4.09</t>
  </si>
  <si>
    <t>CMB.014.1.10</t>
  </si>
  <si>
    <t>CMB.014.1.11</t>
  </si>
  <si>
    <t>CMB.014.1.12</t>
  </si>
  <si>
    <t>CMB.014.1.13</t>
  </si>
  <si>
    <t>CMB.014.1.14</t>
  </si>
  <si>
    <t>CMB.014.2.15</t>
  </si>
  <si>
    <t>CMB.014.2.16</t>
  </si>
  <si>
    <t>CMB.014.2.17</t>
  </si>
  <si>
    <t>CMB.014.2.18</t>
  </si>
  <si>
    <t>40C</t>
  </si>
  <si>
    <t>CMB.014.2.19</t>
  </si>
  <si>
    <t>70B</t>
  </si>
  <si>
    <t>CMB.015.3.01</t>
  </si>
  <si>
    <t>70D</t>
  </si>
  <si>
    <t>CMB.015.3.02</t>
  </si>
  <si>
    <t>36C</t>
  </si>
  <si>
    <t>CMB.015.3.03</t>
  </si>
  <si>
    <t>112B</t>
  </si>
  <si>
    <t>CMB.015.3.04</t>
  </si>
  <si>
    <t>CMB.015.3.05</t>
  </si>
  <si>
    <t>CMB.015.4.06</t>
  </si>
  <si>
    <t>CMB.015.4.07</t>
  </si>
  <si>
    <t>CMB.015.4.08</t>
  </si>
  <si>
    <t>84B</t>
  </si>
  <si>
    <t>CMB.015.4.09</t>
  </si>
  <si>
    <t>CMB.015.4.10</t>
  </si>
  <si>
    <t>48B</t>
  </si>
  <si>
    <t>CMB.015.2.11</t>
  </si>
  <si>
    <t>24A</t>
  </si>
  <si>
    <t>CMB.015.1.12</t>
  </si>
  <si>
    <t>CMB.015.1.13</t>
  </si>
  <si>
    <t>CMB.015.1.14</t>
  </si>
  <si>
    <t>112A</t>
  </si>
  <si>
    <t>CMB.015.1.15</t>
  </si>
  <si>
    <t>CMB.015.1.16</t>
  </si>
  <si>
    <t>CMB.015.2.17</t>
  </si>
  <si>
    <t>64H</t>
  </si>
  <si>
    <t>CMB.015.2.18</t>
  </si>
  <si>
    <t>CMB.015.2.19</t>
  </si>
  <si>
    <t>96E</t>
  </si>
  <si>
    <t>CMB.015.2.20</t>
  </si>
  <si>
    <t>CMB.015.2.21</t>
  </si>
  <si>
    <t>CMB.023.4.01</t>
  </si>
  <si>
    <t>108B</t>
  </si>
  <si>
    <t>CMB.023.4.02</t>
  </si>
  <si>
    <t>CMB.023.4.03</t>
  </si>
  <si>
    <t>CMB.023.4.04</t>
  </si>
  <si>
    <t>72C</t>
  </si>
  <si>
    <t>CMB.023.4.05</t>
  </si>
  <si>
    <t>CMB.023.3.06</t>
  </si>
  <si>
    <t>CMB.023.3.07</t>
  </si>
  <si>
    <t>CMB.023.3.08</t>
  </si>
  <si>
    <t>64C</t>
  </si>
  <si>
    <t>CMB.023.3.09</t>
  </si>
  <si>
    <t>64D</t>
  </si>
  <si>
    <t>CMB.023.3.10</t>
  </si>
  <si>
    <t>72D</t>
  </si>
  <si>
    <t>CMB.023.3.11</t>
  </si>
  <si>
    <t>CMB.023.1.12</t>
  </si>
  <si>
    <t>CMB.023.1.13</t>
  </si>
  <si>
    <t>CMB.023.1.14</t>
  </si>
  <si>
    <t>CMB.023.1.15</t>
  </si>
  <si>
    <t>CMB.023.2.16</t>
  </si>
  <si>
    <t>60C</t>
  </si>
  <si>
    <t>CMB.023.2.17</t>
  </si>
  <si>
    <t>CMB.023.2.18</t>
  </si>
  <si>
    <t>56C</t>
  </si>
  <si>
    <t>CMB.023.2.19</t>
  </si>
  <si>
    <t>90E</t>
  </si>
  <si>
    <t>CMB.023.2.20</t>
  </si>
  <si>
    <t>CMB.023.2.21</t>
  </si>
  <si>
    <t>CMB.023.1.22</t>
  </si>
  <si>
    <t>shipment information:</t>
  </si>
  <si>
    <t>Total Drum QTY:</t>
  </si>
  <si>
    <t>Drum size:</t>
  </si>
  <si>
    <t>Total pallet QTY:</t>
  </si>
  <si>
    <t>Pallet size:</t>
  </si>
  <si>
    <t>1050*1050*1150</t>
  </si>
  <si>
    <t>1050*1050*650</t>
  </si>
  <si>
    <t>1500*750*1150</t>
  </si>
  <si>
    <t>1500*750*650</t>
  </si>
  <si>
    <t>Total cubic:</t>
  </si>
  <si>
    <t>Total weight:</t>
  </si>
  <si>
    <r>
      <rPr>
        <sz val="11"/>
        <color theme="1"/>
        <rFont val="宋体"/>
        <charset val="134"/>
      </rPr>
      <t>列数</t>
    </r>
  </si>
  <si>
    <r>
      <rPr>
        <sz val="11"/>
        <color theme="1"/>
        <rFont val="宋体"/>
        <charset val="134"/>
      </rPr>
      <t>阵列汇总</t>
    </r>
  </si>
  <si>
    <t>CMB.001.4.02</t>
  </si>
  <si>
    <t>90A</t>
  </si>
  <si>
    <t>CMB.001.3.03</t>
  </si>
  <si>
    <t>84A</t>
  </si>
  <si>
    <t>CMB.001.3.04</t>
  </si>
  <si>
    <t>42B</t>
  </si>
  <si>
    <t>CMB.001.2.05</t>
  </si>
  <si>
    <t>104E</t>
  </si>
  <si>
    <t>CMB.001.2.06</t>
  </si>
  <si>
    <t>108C</t>
  </si>
  <si>
    <t>CMB.001.2.07</t>
  </si>
  <si>
    <t>CMB.001.2.08</t>
  </si>
  <si>
    <t>CMB.001.3.12</t>
  </si>
  <si>
    <t>84D</t>
  </si>
  <si>
    <t>CMB.001.3.13</t>
  </si>
  <si>
    <t>84E</t>
  </si>
  <si>
    <t>CMB.001.3.14</t>
  </si>
  <si>
    <t>CMB.001.1.15</t>
  </si>
  <si>
    <t>CMB.001.1.16</t>
  </si>
  <si>
    <t>CMB.001.3.19</t>
  </si>
  <si>
    <t>CMB.001.1.20</t>
  </si>
  <si>
    <t>CMB.002.3.01</t>
  </si>
  <si>
    <t>112D</t>
  </si>
  <si>
    <t>CMB.002.3.02</t>
  </si>
  <si>
    <t>CMB.002.3.03</t>
  </si>
  <si>
    <t>CMB.002.3.04</t>
  </si>
  <si>
    <t>112C</t>
  </si>
  <si>
    <t>CMB.002.2.05</t>
  </si>
  <si>
    <t>CMB.002.2.06</t>
  </si>
  <si>
    <t>CMB.002.2.07</t>
  </si>
  <si>
    <t>CMB.002.2.12</t>
  </si>
  <si>
    <t>CMB.002.2.13</t>
  </si>
  <si>
    <t>CMB.003.3.01</t>
  </si>
  <si>
    <t>CMB.003.3.02</t>
  </si>
  <si>
    <t>CMB.003.3.03</t>
  </si>
  <si>
    <t>CMB.003.3.04</t>
  </si>
  <si>
    <t>CMB.003.2.05</t>
  </si>
  <si>
    <t>CMB.003.2.06</t>
  </si>
  <si>
    <t>CMB.003.2.07</t>
  </si>
  <si>
    <t>CMB.003.2.12</t>
  </si>
  <si>
    <t>CMB.003.2.13</t>
  </si>
  <si>
    <t>CMB.004.3.01</t>
  </si>
  <si>
    <t>CMB.004.3.02</t>
  </si>
  <si>
    <t>CMB.004.3.03</t>
  </si>
  <si>
    <t>CMB.004.3.04</t>
  </si>
  <si>
    <t>CMB.004.2.05</t>
  </si>
  <si>
    <t>CMB.004.2.06</t>
  </si>
  <si>
    <t>84C</t>
  </si>
  <si>
    <t>CMB.004.2.07</t>
  </si>
  <si>
    <t>CMB.004.2.08</t>
  </si>
  <si>
    <t>72E</t>
  </si>
  <si>
    <t>CMB.004.2.09</t>
  </si>
  <si>
    <t>CMB.004.1.10</t>
  </si>
  <si>
    <t>CMB.004.4.14</t>
  </si>
  <si>
    <t>CMB.004.4.15</t>
  </si>
  <si>
    <t>CMB.004.1.16</t>
  </si>
  <si>
    <t>CMB.004.1.17</t>
  </si>
  <si>
    <t>CMB.001.4.09</t>
  </si>
  <si>
    <t>CMB.001.4.10</t>
  </si>
  <si>
    <t>CMB.001.4.11</t>
  </si>
  <si>
    <t>CMB.001.1.17</t>
  </si>
  <si>
    <t>CMB.001.1.18</t>
  </si>
  <si>
    <t>CMB.002.4.08</t>
  </si>
  <si>
    <t>CMB.002.4.09</t>
  </si>
  <si>
    <t>CMB.002.4.10</t>
  </si>
  <si>
    <t>CMB.002.4.11</t>
  </si>
  <si>
    <t>CMB.002.1.14</t>
  </si>
  <si>
    <t>CMB.002.1.15</t>
  </si>
  <si>
    <t>CMB.002.1.16</t>
  </si>
  <si>
    <t>CMB.002.1.17</t>
  </si>
  <si>
    <t>CMB.003.4.08</t>
  </si>
  <si>
    <t>CMB.003.4.09</t>
  </si>
  <si>
    <t>CMB.003.4.10</t>
  </si>
  <si>
    <t>CMB.003.4.11</t>
  </si>
  <si>
    <t>CMB.003.1.14</t>
  </si>
  <si>
    <t>CMB.003.1.15</t>
  </si>
  <si>
    <t>CMB.003.1.16</t>
  </si>
  <si>
    <t>CMB.003.1.17</t>
  </si>
  <si>
    <t>CMB.004.4.11</t>
  </si>
  <si>
    <t>CMB.004.4.12</t>
  </si>
  <si>
    <t>CMB.004.4.13</t>
  </si>
  <si>
    <t>CMB.004.1.18</t>
  </si>
  <si>
    <t>CMB.004.1.19</t>
  </si>
  <si>
    <t>NW</t>
  </si>
  <si>
    <t>PPH-10.P.RED.5.00001
PPH-10.N.BLK.0.00002</t>
  </si>
  <si>
    <t>PPH,MRTSN,WCHTA,PPH,10-1,TP1,POS,RED
PPH,MRTSN,WCHTA,PPH,10-1,TP1,NEG,BLK</t>
  </si>
  <si>
    <t>TXS.03.00064
TXS.03.00065</t>
  </si>
  <si>
    <t>PPH-10.P.RED.5.00002
PPH-10.N.BLK.0.00003</t>
  </si>
  <si>
    <t>PPH,MRTSN,WCHTA,PPH,10-1,TP2,POS,RED
PPH,MRTSN,WCHTA,PPH,10-1,TP2,NEG,BLK</t>
  </si>
  <si>
    <t>TXS.03.00066
TXS.03.00067</t>
  </si>
  <si>
    <t>PPH-10.P.RED.5.00004
PPH-10.N.BLK.0.00005</t>
  </si>
  <si>
    <t>PPH,MRTSN,WCHTA,PPH,10-1,TP4,POS,RED
PPH,MRTSN,WCHTA,PPH,10-1,TP4,NEG,BLK</t>
  </si>
  <si>
    <t>TXS.03.00070
TXS.03.00071</t>
  </si>
  <si>
    <t>PPH-9.P.RED.5.00003
PPH-9.N.BLK.0.00003</t>
  </si>
  <si>
    <t>PPH,MRTSN,WCHTA,PPH,9-1,TP1,POS,RED
PPH,MRTSN,WCHTA,PPH,9-1,TP1,NEG,BLK</t>
  </si>
  <si>
    <t>TXS.03.00074
TXS.03.00075</t>
  </si>
  <si>
    <t>PPH-9.P.RED.5.00004
PPH-9.N.BLK.0.00004</t>
  </si>
  <si>
    <t>PPH,MRTSN,WCHTA,PPH,9-1,TP2,POS,RED
PPH,MRTSN,WCHTA,PPH,9-1,TP2,NEG,BLK</t>
  </si>
  <si>
    <t>TXS.03.00076
TXS.03.00077</t>
  </si>
  <si>
    <t>PPH-9.P.RED.5.00005
PPH-9.N.BLK.0.00005</t>
  </si>
  <si>
    <t>PPH,MRTSN,WCHTA,PPH,9-1,TP3,POS,RED
PPH,MRTSN,WCHTA,PPH,9-1,TP3,NEG,BLK</t>
  </si>
  <si>
    <t>TXS.03.00078
TXS.03.00079</t>
  </si>
  <si>
    <t>PPH-9.P.RED.5.00007
PPH-9.N.BLK.0.00007</t>
  </si>
  <si>
    <t>PPH,MRTSN,WCHTA,PPH,9-1,TP5,POS,RED
PPH,MRTSN,WCHTA,PPH,9-1,TP5,NEG,BLK</t>
  </si>
  <si>
    <t>TXS.03.00082
TXS.03.00083</t>
  </si>
  <si>
    <t>PPH-9.P.RED.5.00008
PPH-9.N.BLK.0.00008</t>
  </si>
  <si>
    <t>PPH,MRTSN,WCHTA,PPH,9-1,TP6,POS,RED
PPH,MRTSN,WCHTA,PPH,9-1,TP6,NEG,BLK</t>
  </si>
  <si>
    <t>TXS.03.00084
TXS.03.00085</t>
  </si>
  <si>
    <t>PPH-9.P.RED.5.00009
PPH-9.N.BLK.0.00009</t>
  </si>
  <si>
    <t>PPH,MRTSN,WCHTA,PPH,9-1,TP7,POS,RED
PPH,MRTSN,WCHTA,PPH,9-1,TP7,NEG,BLK</t>
  </si>
  <si>
    <t>TXS.03.00086
TXS.03.00087</t>
  </si>
  <si>
    <t>PPH-9.P.RED.5.00010
PPH-9.N.BLK.0.00010</t>
  </si>
  <si>
    <t>PPH,MRTSN,WCHTA,PPH,9-1,TP8,POS,RED
PPH,MRTSN,WCHTA,PPH,9-1,TP8,NEG,BLK</t>
  </si>
  <si>
    <t>TXS.03.00088
TXS.03.00089</t>
  </si>
  <si>
    <t>PPH-9.P.RED.5.00011
PPH-9.N.BLK.0.00011</t>
  </si>
  <si>
    <t>PPH,MRTSN,WCHTA,PPH,9-1,TP9,POS,RED
PPH,MRTSN,WCHTA,PPH,9-1,TP9,NEG,BLK</t>
  </si>
  <si>
    <t>TXS.03.00090
TXS.03.00091</t>
  </si>
  <si>
    <t>PPH-9.P.RED.5.00012
PPH-9.N.BLK.0.00012</t>
  </si>
  <si>
    <t>PPH,MRTSN,WCHTA,PPH,9-1,TP10,POS,RED
PPH,MRTSN,WCHTA,PPH,9-1,TP10,NEG,BLK</t>
  </si>
  <si>
    <t>TXS.03.00092
TXS.03.00093</t>
  </si>
  <si>
    <t>PPH-5.P.RED.5.00001
PPH-5.N.BLK.0.00015</t>
  </si>
  <si>
    <t>PPH,MRTSN,WCHTA,PPH,5-1,TP1,POS,RED
PPH,MRTSN,WCHTA,PPH,5-1,TP1,NEG,BLK</t>
  </si>
  <si>
    <t>TXS.03.00094
TXS.03.00095</t>
  </si>
  <si>
    <t>PPH-5.P.RED.5.00002
PPH-5.N.BLK.0.00016</t>
  </si>
  <si>
    <t>PPH,MRTSN,WCHTA,PPH,5-1,TP2,POS,RED
PPH,MRTSN,WCHTA,PPH,5-1,TP2,NEG,BLK</t>
  </si>
  <si>
    <t>TXS.03.00096
TXS.03.00097</t>
  </si>
  <si>
    <t>SH</t>
  </si>
  <si>
    <t>MRTSN,WCHTA,SH,N/S,PAIR 2,#8CU-#6AL</t>
  </si>
  <si>
    <t>TXS.01.00035</t>
  </si>
  <si>
    <t>MRTSN,WCHTA,SH,N/S,PAIR 4,#8CU-#6AL</t>
  </si>
  <si>
    <t>TXS.01.00037</t>
  </si>
  <si>
    <t>MRTSN,WCHTA,SH,N/S,PAIR 5,#8CU-#6AL</t>
  </si>
  <si>
    <t>TXS.01.00038</t>
  </si>
  <si>
    <t>MRTSN,WCHTA,SH,N/S,PAIR 8,#8CU-#6AL,XTRACKER</t>
  </si>
  <si>
    <t>TXS.01.00041</t>
  </si>
  <si>
    <t>MRTSN,WCHTA,SH,N/S,PAIR 10,#8CU-#6AL,XTRACKER</t>
  </si>
  <si>
    <t>TXS.01.00043</t>
  </si>
  <si>
    <t>MRTSN,WCHTA,SH,N/S,PAIR 11,#8CU-#6AL,XTRACKER</t>
  </si>
  <si>
    <t>TXS.01.00044</t>
  </si>
  <si>
    <t>MRTSN,WCHTA,SH,E/W,PAIR 1,#8CU</t>
  </si>
  <si>
    <t>TXS.01.00027</t>
  </si>
  <si>
    <t>MRTSN,WCHTA,SH,E/W,PAIR 2,#8CU-#6AL</t>
  </si>
  <si>
    <t>TXS.01.00028</t>
  </si>
  <si>
    <t>MRTSN,WCHTA,SH,E/W,PAIR 3,#8CU-#6AL</t>
  </si>
  <si>
    <t>TXS.01.00029</t>
  </si>
  <si>
    <t>MRTSN,WCHTA,SH,E/W,PAIR 4,#8CU-#6AL</t>
  </si>
  <si>
    <t>TXS.01.00030</t>
  </si>
  <si>
    <t>Block 19-22</t>
  </si>
  <si>
    <t>Block 16-18&amp;27</t>
  </si>
  <si>
    <t xml:space="preserve">Block 24-25&amp;28-29 </t>
  </si>
  <si>
    <t>Block 26&amp;31-33</t>
  </si>
  <si>
    <t>Block 30&amp;34-36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</si>
</sst>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0_ "/>
  </numFmts>
  <fonts count="28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9"/>
      <color theme="1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color theme="0"/>
      <name val="Calibri"/>
      <charset val="134"/>
    </font>
    <font>
      <sz val="9"/>
      <color rgb="FFFF0000"/>
      <name val="Calibri"/>
      <charset val="134"/>
    </font>
    <font>
      <sz val="11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3" tint="0.899960325937681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6" applyNumberFormat="0" applyAlignment="0" applyProtection="0">
      <alignment vertical="center"/>
    </xf>
    <xf numFmtId="0" fontId="17" fillId="11" borderId="17" applyNumberFormat="0" applyAlignment="0" applyProtection="0">
      <alignment vertical="center"/>
    </xf>
    <xf numFmtId="0" fontId="18" fillId="11" borderId="16" applyNumberFormat="0" applyAlignment="0" applyProtection="0">
      <alignment vertical="center"/>
    </xf>
    <xf numFmtId="0" fontId="19" fillId="12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7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76" fontId="5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7" borderId="7" xfId="0" applyFont="1" applyFill="1" applyBorder="1" applyAlignment="1">
      <alignment horizontal="center" vertical="center"/>
    </xf>
    <xf numFmtId="0" fontId="1" fillId="0" borderId="6" xfId="0" applyFont="1" applyBorder="1"/>
    <xf numFmtId="0" fontId="1" fillId="2" borderId="7" xfId="0" applyFont="1" applyFill="1" applyBorder="1" applyAlignment="1">
      <alignment horizontal="center" vertical="center"/>
    </xf>
    <xf numFmtId="178" fontId="1" fillId="0" borderId="6" xfId="0" applyNumberFormat="1" applyFont="1" applyBorder="1"/>
    <xf numFmtId="0" fontId="1" fillId="7" borderId="0" xfId="0" applyFont="1" applyFill="1"/>
    <xf numFmtId="177" fontId="1" fillId="0" borderId="0" xfId="0" applyNumberFormat="1" applyFont="1" applyAlignment="1">
      <alignment horizontal="center" vertical="center"/>
    </xf>
    <xf numFmtId="0" fontId="0" fillId="0" borderId="6" xfId="0" applyBorder="1"/>
    <xf numFmtId="0" fontId="2" fillId="0" borderId="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78" fontId="1" fillId="0" borderId="10" xfId="0" applyNumberFormat="1" applyFont="1" applyBorder="1"/>
    <xf numFmtId="0" fontId="1" fillId="0" borderId="1" xfId="0" applyFont="1" applyBorder="1"/>
    <xf numFmtId="178" fontId="1" fillId="0" borderId="1" xfId="0" applyNumberFormat="1" applyFont="1" applyBorder="1" applyAlignment="1">
      <alignment horizontal="center"/>
    </xf>
    <xf numFmtId="178" fontId="1" fillId="0" borderId="1" xfId="0" applyNumberFormat="1" applyFont="1" applyBorder="1"/>
    <xf numFmtId="0" fontId="1" fillId="0" borderId="7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176" fontId="5" fillId="0" borderId="1" xfId="0" applyNumberFormat="1" applyFont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1" fillId="6" borderId="0" xfId="0" applyFont="1" applyFill="1"/>
    <xf numFmtId="0" fontId="1" fillId="8" borderId="0" xfId="0" applyFont="1" applyFill="1"/>
    <xf numFmtId="0" fontId="0" fillId="6" borderId="1" xfId="0" applyFill="1" applyBorder="1"/>
    <xf numFmtId="0" fontId="4" fillId="7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S105"/>
  <sheetViews>
    <sheetView workbookViewId="0">
      <pane xSplit="3" ySplit="3" topLeftCell="D70" activePane="bottomRight" state="frozen"/>
      <selection/>
      <selection pane="topRight"/>
      <selection pane="bottomLeft"/>
      <selection pane="bottomRight" activeCell="L107" sqref="L107"/>
    </sheetView>
  </sheetViews>
  <sheetFormatPr defaultColWidth="9" defaultRowHeight="15"/>
  <cols>
    <col min="1" max="1" width="13.6666666666667" style="2" customWidth="1"/>
    <col min="2" max="2" width="13.4" style="2" customWidth="1"/>
    <col min="3" max="3" width="8.66666666666667" style="2" customWidth="1"/>
    <col min="4" max="39" width="7.93333333333333" style="2" customWidth="1"/>
    <col min="40" max="40" width="9" style="2" customWidth="1"/>
    <col min="41" max="41" width="13.9833333333333" style="2" customWidth="1"/>
    <col min="42" max="42" width="9" style="2"/>
    <col min="43" max="43" width="9" style="2" customWidth="1"/>
    <col min="44" max="44" width="14.2416666666667" style="2" customWidth="1"/>
    <col min="45" max="16384" width="9" style="2"/>
  </cols>
  <sheetData>
    <row r="1" spans="1:45">
      <c r="A1" s="11" t="s">
        <v>0</v>
      </c>
      <c r="B1" s="12" t="s">
        <v>1</v>
      </c>
      <c r="C1" s="13" t="s">
        <v>2</v>
      </c>
      <c r="D1" s="14" t="s">
        <v>3</v>
      </c>
      <c r="E1" s="14" t="s">
        <v>3</v>
      </c>
      <c r="F1" s="14" t="s">
        <v>3</v>
      </c>
      <c r="G1" s="14" t="s">
        <v>3</v>
      </c>
      <c r="H1" s="14" t="s">
        <v>3</v>
      </c>
      <c r="I1" s="14" t="s">
        <v>3</v>
      </c>
      <c r="J1" s="14" t="s">
        <v>3</v>
      </c>
      <c r="K1" s="14" t="s">
        <v>3</v>
      </c>
      <c r="L1" s="14" t="s">
        <v>3</v>
      </c>
      <c r="M1" s="14" t="s">
        <v>3</v>
      </c>
      <c r="N1" s="14" t="s">
        <v>3</v>
      </c>
      <c r="O1" s="14" t="s">
        <v>3</v>
      </c>
      <c r="P1" s="14" t="s">
        <v>3</v>
      </c>
      <c r="Q1" s="14" t="s">
        <v>3</v>
      </c>
      <c r="R1" s="14" t="s">
        <v>3</v>
      </c>
      <c r="S1" s="14" t="s">
        <v>3</v>
      </c>
      <c r="T1" s="14" t="s">
        <v>3</v>
      </c>
      <c r="U1" s="14" t="s">
        <v>3</v>
      </c>
      <c r="V1" s="15" t="s">
        <v>4</v>
      </c>
      <c r="W1" s="15" t="s">
        <v>4</v>
      </c>
      <c r="X1" s="15" t="s">
        <v>4</v>
      </c>
      <c r="Y1" s="15" t="s">
        <v>4</v>
      </c>
      <c r="Z1" s="15" t="s">
        <v>4</v>
      </c>
      <c r="AA1" s="15" t="s">
        <v>4</v>
      </c>
      <c r="AB1" s="15" t="s">
        <v>4</v>
      </c>
      <c r="AC1" s="15" t="s">
        <v>4</v>
      </c>
      <c r="AD1" s="15" t="s">
        <v>4</v>
      </c>
      <c r="AE1" s="15" t="s">
        <v>4</v>
      </c>
      <c r="AF1" s="15" t="s">
        <v>4</v>
      </c>
      <c r="AG1" s="16" t="s">
        <v>4</v>
      </c>
      <c r="AH1" s="16" t="s">
        <v>4</v>
      </c>
      <c r="AI1" s="16" t="s">
        <v>4</v>
      </c>
      <c r="AJ1" s="16" t="s">
        <v>4</v>
      </c>
      <c r="AK1" s="16" t="s">
        <v>4</v>
      </c>
      <c r="AL1" s="16" t="s">
        <v>4</v>
      </c>
      <c r="AM1" s="16" t="s">
        <v>4</v>
      </c>
      <c r="AN1" s="37" t="s">
        <v>5</v>
      </c>
      <c r="AO1" s="17" t="s">
        <v>6</v>
      </c>
      <c r="AP1" s="17" t="s">
        <v>7</v>
      </c>
      <c r="AQ1" s="38" t="s">
        <v>8</v>
      </c>
      <c r="AR1" s="19" t="s">
        <v>6</v>
      </c>
      <c r="AS1" s="19" t="s">
        <v>9</v>
      </c>
    </row>
    <row r="2" ht="16.5" customHeight="1" spans="1:45">
      <c r="A2" s="11"/>
      <c r="B2" s="12"/>
      <c r="C2" s="13"/>
      <c r="D2" s="13" t="s">
        <v>10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15</v>
      </c>
      <c r="J2" s="13" t="s">
        <v>16</v>
      </c>
      <c r="K2" s="13" t="s">
        <v>17</v>
      </c>
      <c r="L2" s="13" t="s">
        <v>18</v>
      </c>
      <c r="M2" s="13" t="s">
        <v>19</v>
      </c>
      <c r="N2" s="13" t="s">
        <v>20</v>
      </c>
      <c r="O2" s="13" t="s">
        <v>21</v>
      </c>
      <c r="P2" s="13" t="s">
        <v>22</v>
      </c>
      <c r="Q2" s="13" t="s">
        <v>23</v>
      </c>
      <c r="R2" s="13" t="s">
        <v>24</v>
      </c>
      <c r="S2" s="13" t="s">
        <v>25</v>
      </c>
      <c r="T2" s="13" t="s">
        <v>26</v>
      </c>
      <c r="U2" s="13" t="s">
        <v>27</v>
      </c>
      <c r="V2" s="13" t="s">
        <v>28</v>
      </c>
      <c r="W2" s="13" t="s">
        <v>29</v>
      </c>
      <c r="X2" s="13" t="s">
        <v>30</v>
      </c>
      <c r="Y2" s="13" t="s">
        <v>31</v>
      </c>
      <c r="Z2" s="13" t="s">
        <v>32</v>
      </c>
      <c r="AA2" s="13" t="s">
        <v>33</v>
      </c>
      <c r="AB2" s="13" t="s">
        <v>34</v>
      </c>
      <c r="AC2" s="13" t="s">
        <v>35</v>
      </c>
      <c r="AD2" s="13" t="s">
        <v>36</v>
      </c>
      <c r="AE2" s="13" t="s">
        <v>37</v>
      </c>
      <c r="AF2" s="13" t="s">
        <v>38</v>
      </c>
      <c r="AG2" s="13" t="s">
        <v>39</v>
      </c>
      <c r="AH2" s="13" t="s">
        <v>40</v>
      </c>
      <c r="AI2" s="13" t="s">
        <v>41</v>
      </c>
      <c r="AJ2" s="13" t="s">
        <v>42</v>
      </c>
      <c r="AK2" s="13" t="s">
        <v>43</v>
      </c>
      <c r="AL2" s="13" t="s">
        <v>44</v>
      </c>
      <c r="AM2" s="13" t="s">
        <v>45</v>
      </c>
      <c r="AN2" s="37"/>
      <c r="AO2" s="17"/>
      <c r="AP2" s="17"/>
      <c r="AQ2" s="39"/>
      <c r="AR2" s="20"/>
      <c r="AS2" s="20"/>
    </row>
    <row r="3" spans="1:45">
      <c r="A3" s="11"/>
      <c r="B3" s="12"/>
      <c r="C3" s="21"/>
      <c r="D3" s="22">
        <v>571</v>
      </c>
      <c r="E3" s="22">
        <v>571</v>
      </c>
      <c r="F3" s="22">
        <v>571</v>
      </c>
      <c r="G3" s="22">
        <v>571</v>
      </c>
      <c r="H3" s="22">
        <v>571.040026246719</v>
      </c>
      <c r="I3" s="22"/>
      <c r="J3" s="22">
        <v>494</v>
      </c>
      <c r="K3" s="22">
        <v>513</v>
      </c>
      <c r="L3" s="22">
        <v>513</v>
      </c>
      <c r="M3" s="22">
        <v>513</v>
      </c>
      <c r="N3" s="22">
        <v>504</v>
      </c>
      <c r="O3" s="22">
        <v>493</v>
      </c>
      <c r="P3" s="22">
        <v>513</v>
      </c>
      <c r="Q3" s="22">
        <v>513</v>
      </c>
      <c r="R3" s="22">
        <v>513</v>
      </c>
      <c r="S3" s="22">
        <v>503</v>
      </c>
      <c r="T3" s="22">
        <v>268</v>
      </c>
      <c r="U3" s="22">
        <v>268</v>
      </c>
      <c r="V3" s="22">
        <v>412</v>
      </c>
      <c r="W3" s="22">
        <v>484</v>
      </c>
      <c r="X3" s="22">
        <v>540</v>
      </c>
      <c r="Y3" s="22">
        <v>748</v>
      </c>
      <c r="Z3" s="22">
        <v>956</v>
      </c>
      <c r="AA3" s="22">
        <v>1008</v>
      </c>
      <c r="AB3" s="22">
        <v>1028</v>
      </c>
      <c r="AC3" s="22">
        <v>1216</v>
      </c>
      <c r="AD3" s="22">
        <v>1226</v>
      </c>
      <c r="AE3" s="22">
        <v>1426</v>
      </c>
      <c r="AF3" s="22">
        <v>1436</v>
      </c>
      <c r="AG3" s="22">
        <v>30</v>
      </c>
      <c r="AH3" s="22">
        <v>72</v>
      </c>
      <c r="AI3" s="22">
        <v>112</v>
      </c>
      <c r="AJ3" s="22">
        <v>152</v>
      </c>
      <c r="AK3" s="22">
        <v>192</v>
      </c>
      <c r="AL3" s="22">
        <v>232</v>
      </c>
      <c r="AM3" s="22">
        <v>272</v>
      </c>
      <c r="AN3" s="37"/>
      <c r="AO3" s="17"/>
      <c r="AP3" s="17"/>
      <c r="AQ3" s="40"/>
      <c r="AR3" s="23"/>
      <c r="AS3" s="23"/>
    </row>
    <row r="4" customFormat="1" spans="1:45">
      <c r="A4" s="11"/>
      <c r="B4" s="24"/>
      <c r="C4" s="13"/>
      <c r="D4" s="25" t="s">
        <v>46</v>
      </c>
      <c r="E4" s="25" t="s">
        <v>47</v>
      </c>
      <c r="F4" s="25" t="s">
        <v>48</v>
      </c>
      <c r="G4" s="25" t="s">
        <v>49</v>
      </c>
      <c r="H4" s="25" t="s">
        <v>50</v>
      </c>
      <c r="I4" s="25" t="s">
        <v>51</v>
      </c>
      <c r="J4" s="25" t="s">
        <v>52</v>
      </c>
      <c r="K4" s="25" t="s">
        <v>53</v>
      </c>
      <c r="L4" s="25" t="s">
        <v>54</v>
      </c>
      <c r="M4" s="25" t="s">
        <v>55</v>
      </c>
      <c r="N4" s="25" t="s">
        <v>56</v>
      </c>
      <c r="O4" s="25" t="s">
        <v>57</v>
      </c>
      <c r="P4" s="25" t="s">
        <v>58</v>
      </c>
      <c r="Q4" s="25" t="s">
        <v>59</v>
      </c>
      <c r="R4" s="25" t="s">
        <v>60</v>
      </c>
      <c r="S4" s="25" t="s">
        <v>61</v>
      </c>
      <c r="T4" s="25" t="s">
        <v>62</v>
      </c>
      <c r="U4" s="25" t="s">
        <v>63</v>
      </c>
      <c r="V4" s="25" t="s">
        <v>64</v>
      </c>
      <c r="W4" s="25" t="s">
        <v>65</v>
      </c>
      <c r="X4" s="25" t="s">
        <v>66</v>
      </c>
      <c r="Y4" s="25" t="s">
        <v>67</v>
      </c>
      <c r="Z4" s="25" t="s">
        <v>68</v>
      </c>
      <c r="AA4" s="25" t="s">
        <v>69</v>
      </c>
      <c r="AB4" s="25" t="s">
        <v>70</v>
      </c>
      <c r="AC4" s="25" t="s">
        <v>71</v>
      </c>
      <c r="AD4" s="25" t="s">
        <v>72</v>
      </c>
      <c r="AE4" s="25" t="s">
        <v>73</v>
      </c>
      <c r="AF4" s="25" t="s">
        <v>74</v>
      </c>
      <c r="AG4" s="25" t="s">
        <v>75</v>
      </c>
      <c r="AH4" s="25" t="s">
        <v>76</v>
      </c>
      <c r="AI4" s="25" t="s">
        <v>77</v>
      </c>
      <c r="AJ4" s="25" t="s">
        <v>78</v>
      </c>
      <c r="AK4" s="25" t="s">
        <v>79</v>
      </c>
      <c r="AL4" s="25" t="s">
        <v>80</v>
      </c>
      <c r="AM4" s="25" t="s">
        <v>81</v>
      </c>
      <c r="AN4" s="3"/>
      <c r="AO4" s="17"/>
      <c r="AP4" s="17"/>
      <c r="AQ4" s="40"/>
      <c r="AR4" s="23"/>
      <c r="AS4" s="23"/>
    </row>
    <row r="5" customFormat="1" spans="1:45">
      <c r="A5" s="11"/>
      <c r="B5" s="24"/>
      <c r="C5" s="13"/>
      <c r="D5" s="25" t="s">
        <v>82</v>
      </c>
      <c r="E5" s="25" t="s">
        <v>83</v>
      </c>
      <c r="F5" s="25" t="s">
        <v>84</v>
      </c>
      <c r="G5" s="25" t="s">
        <v>85</v>
      </c>
      <c r="H5" s="25" t="s">
        <v>86</v>
      </c>
      <c r="I5" s="25" t="s">
        <v>87</v>
      </c>
      <c r="J5" s="25" t="s">
        <v>88</v>
      </c>
      <c r="K5" s="25" t="s">
        <v>89</v>
      </c>
      <c r="L5" s="25" t="s">
        <v>90</v>
      </c>
      <c r="M5" s="25" t="s">
        <v>91</v>
      </c>
      <c r="N5" s="25" t="s">
        <v>92</v>
      </c>
      <c r="O5" s="25" t="s">
        <v>93</v>
      </c>
      <c r="P5" s="25" t="s">
        <v>94</v>
      </c>
      <c r="Q5" s="25" t="s">
        <v>95</v>
      </c>
      <c r="R5" s="25" t="s">
        <v>96</v>
      </c>
      <c r="S5" s="25" t="s">
        <v>97</v>
      </c>
      <c r="T5" s="25" t="s">
        <v>98</v>
      </c>
      <c r="U5" s="25" t="s">
        <v>99</v>
      </c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3"/>
      <c r="AO5" s="17"/>
      <c r="AP5" s="17"/>
      <c r="AQ5" s="40"/>
      <c r="AR5" s="20"/>
      <c r="AS5" s="20"/>
    </row>
    <row r="6" s="1" customFormat="1" spans="1:45">
      <c r="A6" s="1" t="s">
        <v>100</v>
      </c>
      <c r="B6" s="1" t="s">
        <v>101</v>
      </c>
      <c r="C6" s="1">
        <v>12</v>
      </c>
      <c r="D6" s="4"/>
      <c r="E6" s="4"/>
      <c r="F6" s="4"/>
      <c r="G6" s="4"/>
      <c r="H6" s="4"/>
      <c r="I6" s="4"/>
      <c r="J6" s="4">
        <v>9</v>
      </c>
      <c r="K6" s="4">
        <v>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>
        <v>3</v>
      </c>
      <c r="X6" s="4"/>
      <c r="Y6" s="4"/>
      <c r="Z6" s="4">
        <v>3</v>
      </c>
      <c r="AA6" s="4"/>
      <c r="AB6" s="4"/>
      <c r="AC6" s="4"/>
      <c r="AD6" s="4"/>
      <c r="AE6" s="4">
        <v>3</v>
      </c>
      <c r="AF6" s="4"/>
      <c r="AG6" s="4">
        <v>4</v>
      </c>
      <c r="AH6" s="4">
        <v>8</v>
      </c>
      <c r="AI6" s="4"/>
      <c r="AJ6" s="4"/>
      <c r="AK6" s="4"/>
      <c r="AL6" s="4"/>
      <c r="AM6" s="4"/>
      <c r="AN6" s="1">
        <v>1481</v>
      </c>
      <c r="AO6" s="66" t="s">
        <v>102</v>
      </c>
      <c r="AP6" s="66">
        <v>3</v>
      </c>
      <c r="AQ6" s="42">
        <v>796</v>
      </c>
      <c r="AR6" s="28" t="s">
        <v>103</v>
      </c>
      <c r="AS6" s="28">
        <v>1</v>
      </c>
    </row>
    <row r="7" s="1" customFormat="1" spans="1:45">
      <c r="A7" s="1" t="s">
        <v>104</v>
      </c>
      <c r="B7" s="1" t="s">
        <v>101</v>
      </c>
      <c r="C7" s="1">
        <v>12</v>
      </c>
      <c r="D7" s="4"/>
      <c r="E7" s="4"/>
      <c r="F7" s="4"/>
      <c r="G7" s="4"/>
      <c r="H7" s="4"/>
      <c r="I7" s="4"/>
      <c r="J7" s="4">
        <v>9</v>
      </c>
      <c r="K7" s="4">
        <v>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>
        <v>3</v>
      </c>
      <c r="X7" s="4"/>
      <c r="Y7" s="4"/>
      <c r="Z7" s="4">
        <v>3</v>
      </c>
      <c r="AA7" s="4"/>
      <c r="AB7" s="4"/>
      <c r="AC7" s="4"/>
      <c r="AD7" s="4"/>
      <c r="AE7" s="4">
        <v>3</v>
      </c>
      <c r="AF7" s="4"/>
      <c r="AG7" s="4">
        <v>4</v>
      </c>
      <c r="AH7" s="4">
        <v>8</v>
      </c>
      <c r="AI7" s="4"/>
      <c r="AJ7" s="4"/>
      <c r="AK7" s="4"/>
      <c r="AL7" s="4"/>
      <c r="AM7" s="4"/>
      <c r="AN7" s="1">
        <v>1265</v>
      </c>
      <c r="AO7" s="66" t="s">
        <v>102</v>
      </c>
      <c r="AP7" s="66">
        <v>3</v>
      </c>
      <c r="AQ7" s="42">
        <v>1100</v>
      </c>
      <c r="AR7" s="28"/>
      <c r="AS7" s="28"/>
    </row>
    <row r="8" s="1" customFormat="1" spans="1:45">
      <c r="A8" s="1" t="s">
        <v>105</v>
      </c>
      <c r="B8" s="1" t="s">
        <v>106</v>
      </c>
      <c r="C8" s="1">
        <v>8</v>
      </c>
      <c r="D8" s="4"/>
      <c r="E8" s="4"/>
      <c r="F8" s="4"/>
      <c r="G8" s="4"/>
      <c r="H8" s="4"/>
      <c r="I8" s="4"/>
      <c r="J8" s="4">
        <v>6</v>
      </c>
      <c r="K8" s="4"/>
      <c r="L8" s="4"/>
      <c r="M8" s="4"/>
      <c r="N8" s="4"/>
      <c r="O8" s="4"/>
      <c r="P8" s="4"/>
      <c r="Q8" s="4"/>
      <c r="R8" s="4"/>
      <c r="S8" s="4">
        <v>2</v>
      </c>
      <c r="T8" s="4"/>
      <c r="U8" s="4"/>
      <c r="V8" s="4"/>
      <c r="W8" s="4">
        <v>2</v>
      </c>
      <c r="X8" s="4"/>
      <c r="Y8" s="4"/>
      <c r="Z8" s="4">
        <v>2</v>
      </c>
      <c r="AA8" s="4"/>
      <c r="AB8" s="4"/>
      <c r="AC8" s="4"/>
      <c r="AD8" s="4"/>
      <c r="AE8" s="4"/>
      <c r="AF8" s="4">
        <v>2</v>
      </c>
      <c r="AG8" s="4">
        <v>4</v>
      </c>
      <c r="AH8" s="4">
        <v>4</v>
      </c>
      <c r="AI8" s="4"/>
      <c r="AJ8" s="4"/>
      <c r="AK8" s="4"/>
      <c r="AL8" s="4"/>
      <c r="AM8" s="4"/>
      <c r="AN8" s="1">
        <v>1265</v>
      </c>
      <c r="AO8" s="66" t="s">
        <v>102</v>
      </c>
      <c r="AP8" s="66">
        <v>2</v>
      </c>
      <c r="AQ8" s="42">
        <v>348</v>
      </c>
      <c r="AR8" s="28" t="s">
        <v>102</v>
      </c>
      <c r="AS8" s="28">
        <v>1</v>
      </c>
    </row>
    <row r="9" s="1" customFormat="1" spans="1:45">
      <c r="A9" s="1" t="s">
        <v>107</v>
      </c>
      <c r="B9" s="1" t="s">
        <v>106</v>
      </c>
      <c r="C9" s="1">
        <v>8</v>
      </c>
      <c r="D9" s="4"/>
      <c r="E9" s="4"/>
      <c r="F9" s="4"/>
      <c r="G9" s="4"/>
      <c r="H9" s="4"/>
      <c r="I9" s="4"/>
      <c r="J9" s="4">
        <v>6</v>
      </c>
      <c r="K9" s="4"/>
      <c r="L9" s="4"/>
      <c r="M9" s="4"/>
      <c r="N9" s="4"/>
      <c r="O9" s="4"/>
      <c r="P9" s="4"/>
      <c r="Q9" s="4"/>
      <c r="R9" s="4"/>
      <c r="S9" s="4">
        <v>2</v>
      </c>
      <c r="T9" s="4"/>
      <c r="U9" s="4"/>
      <c r="V9" s="4"/>
      <c r="W9" s="4">
        <v>2</v>
      </c>
      <c r="X9" s="4"/>
      <c r="Y9" s="4"/>
      <c r="Z9" s="4">
        <v>2</v>
      </c>
      <c r="AA9" s="4"/>
      <c r="AB9" s="4"/>
      <c r="AC9" s="4"/>
      <c r="AD9" s="4"/>
      <c r="AE9" s="4"/>
      <c r="AF9" s="4">
        <v>2</v>
      </c>
      <c r="AG9" s="4">
        <v>4</v>
      </c>
      <c r="AH9" s="4">
        <v>4</v>
      </c>
      <c r="AI9" s="4"/>
      <c r="AJ9" s="4"/>
      <c r="AK9" s="4"/>
      <c r="AL9" s="4"/>
      <c r="AM9" s="4"/>
      <c r="AN9" s="1">
        <v>1481</v>
      </c>
      <c r="AO9" s="66" t="s">
        <v>102</v>
      </c>
      <c r="AP9" s="66">
        <v>2</v>
      </c>
      <c r="AQ9" s="42">
        <v>1100</v>
      </c>
      <c r="AR9" s="28"/>
      <c r="AS9" s="28"/>
    </row>
    <row r="10" s="1" customFormat="1" spans="1:45">
      <c r="A10" s="1" t="s">
        <v>108</v>
      </c>
      <c r="B10" s="1" t="s">
        <v>101</v>
      </c>
      <c r="C10" s="1">
        <v>12</v>
      </c>
      <c r="D10" s="4"/>
      <c r="E10" s="4"/>
      <c r="F10" s="4"/>
      <c r="G10" s="4"/>
      <c r="H10" s="4"/>
      <c r="I10" s="4"/>
      <c r="J10" s="4">
        <v>9</v>
      </c>
      <c r="K10" s="4">
        <v>3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>
        <v>3</v>
      </c>
      <c r="X10" s="4"/>
      <c r="Y10" s="4"/>
      <c r="Z10" s="4">
        <v>3</v>
      </c>
      <c r="AA10" s="4"/>
      <c r="AB10" s="4"/>
      <c r="AC10" s="4"/>
      <c r="AD10" s="4"/>
      <c r="AE10" s="4">
        <v>3</v>
      </c>
      <c r="AF10" s="4"/>
      <c r="AG10" s="4">
        <v>4</v>
      </c>
      <c r="AH10" s="4">
        <v>8</v>
      </c>
      <c r="AI10" s="4"/>
      <c r="AJ10" s="4"/>
      <c r="AK10" s="4"/>
      <c r="AL10" s="4"/>
      <c r="AM10" s="4"/>
      <c r="AN10" s="1">
        <v>1481</v>
      </c>
      <c r="AO10" s="66" t="s">
        <v>102</v>
      </c>
      <c r="AP10" s="66">
        <v>3</v>
      </c>
      <c r="AQ10" s="42">
        <v>1100</v>
      </c>
      <c r="AR10" s="28"/>
      <c r="AS10" s="28"/>
    </row>
    <row r="11" s="1" customFormat="1" spans="1:45">
      <c r="A11" s="1" t="s">
        <v>109</v>
      </c>
      <c r="B11" s="1" t="s">
        <v>101</v>
      </c>
      <c r="C11" s="1">
        <v>12</v>
      </c>
      <c r="D11" s="4"/>
      <c r="E11" s="4"/>
      <c r="F11" s="4"/>
      <c r="G11" s="4"/>
      <c r="H11" s="4"/>
      <c r="I11" s="4"/>
      <c r="J11" s="4">
        <v>9</v>
      </c>
      <c r="K11" s="4">
        <v>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>
        <v>3</v>
      </c>
      <c r="X11" s="4"/>
      <c r="Y11" s="4"/>
      <c r="Z11" s="4">
        <v>3</v>
      </c>
      <c r="AA11" s="4"/>
      <c r="AB11" s="4"/>
      <c r="AC11" s="4"/>
      <c r="AD11" s="4"/>
      <c r="AE11" s="4">
        <v>3</v>
      </c>
      <c r="AF11" s="4"/>
      <c r="AG11" s="4">
        <v>4</v>
      </c>
      <c r="AH11" s="4">
        <v>8</v>
      </c>
      <c r="AI11" s="4"/>
      <c r="AJ11" s="4"/>
      <c r="AK11" s="4"/>
      <c r="AL11" s="4"/>
      <c r="AM11" s="4"/>
      <c r="AN11" s="1">
        <v>1481</v>
      </c>
      <c r="AO11" s="66" t="s">
        <v>102</v>
      </c>
      <c r="AP11" s="66">
        <v>3</v>
      </c>
      <c r="AQ11" s="42">
        <v>1100</v>
      </c>
      <c r="AR11" s="28"/>
      <c r="AS11" s="28"/>
    </row>
    <row r="12" s="1" customFormat="1" spans="1:45">
      <c r="A12" s="1" t="s">
        <v>110</v>
      </c>
      <c r="B12" s="1" t="s">
        <v>101</v>
      </c>
      <c r="C12" s="1">
        <v>12</v>
      </c>
      <c r="D12" s="4"/>
      <c r="E12" s="4"/>
      <c r="F12" s="4"/>
      <c r="G12" s="4"/>
      <c r="H12" s="4"/>
      <c r="I12" s="4"/>
      <c r="J12" s="4">
        <v>9</v>
      </c>
      <c r="K12" s="4">
        <v>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>
        <v>3</v>
      </c>
      <c r="X12" s="4"/>
      <c r="Y12" s="4"/>
      <c r="Z12" s="4">
        <v>3</v>
      </c>
      <c r="AA12" s="4"/>
      <c r="AB12" s="4"/>
      <c r="AC12" s="4"/>
      <c r="AD12" s="4"/>
      <c r="AE12" s="4">
        <v>3</v>
      </c>
      <c r="AF12" s="4"/>
      <c r="AG12" s="4">
        <v>4</v>
      </c>
      <c r="AH12" s="4">
        <v>8</v>
      </c>
      <c r="AI12" s="4"/>
      <c r="AJ12" s="4"/>
      <c r="AK12" s="4"/>
      <c r="AL12" s="4"/>
      <c r="AM12" s="4"/>
      <c r="AN12" s="1">
        <v>1481</v>
      </c>
      <c r="AO12" s="66" t="s">
        <v>102</v>
      </c>
      <c r="AP12" s="66">
        <v>3</v>
      </c>
      <c r="AQ12" s="42">
        <v>1100</v>
      </c>
      <c r="AR12" s="28"/>
      <c r="AS12" s="28"/>
    </row>
    <row r="13" s="1" customFormat="1" spans="1:45">
      <c r="A13" s="1" t="s">
        <v>111</v>
      </c>
      <c r="B13" s="1" t="s">
        <v>106</v>
      </c>
      <c r="C13" s="1">
        <v>8</v>
      </c>
      <c r="D13" s="4"/>
      <c r="E13" s="4"/>
      <c r="F13" s="4"/>
      <c r="G13" s="4"/>
      <c r="H13" s="4"/>
      <c r="I13" s="4"/>
      <c r="J13" s="4">
        <v>6</v>
      </c>
      <c r="K13" s="4"/>
      <c r="L13" s="4"/>
      <c r="M13" s="4"/>
      <c r="N13" s="4"/>
      <c r="O13" s="4"/>
      <c r="P13" s="4"/>
      <c r="Q13" s="4"/>
      <c r="R13" s="4"/>
      <c r="S13" s="4">
        <v>2</v>
      </c>
      <c r="T13" s="4"/>
      <c r="U13" s="4"/>
      <c r="V13" s="4"/>
      <c r="W13" s="4">
        <v>2</v>
      </c>
      <c r="X13" s="4"/>
      <c r="Y13" s="4"/>
      <c r="Z13" s="4">
        <v>2</v>
      </c>
      <c r="AA13" s="4"/>
      <c r="AB13" s="4"/>
      <c r="AC13" s="4"/>
      <c r="AD13" s="4"/>
      <c r="AE13" s="4"/>
      <c r="AF13" s="4">
        <v>2</v>
      </c>
      <c r="AG13" s="4">
        <v>4</v>
      </c>
      <c r="AH13" s="4">
        <v>4</v>
      </c>
      <c r="AI13" s="4"/>
      <c r="AJ13" s="4"/>
      <c r="AK13" s="4"/>
      <c r="AL13" s="4"/>
      <c r="AM13" s="4"/>
      <c r="AN13" s="1">
        <v>4880</v>
      </c>
      <c r="AO13" s="66" t="s">
        <v>102</v>
      </c>
      <c r="AP13" s="66">
        <v>2</v>
      </c>
      <c r="AQ13" s="42">
        <v>696</v>
      </c>
      <c r="AR13" s="28" t="s">
        <v>102</v>
      </c>
      <c r="AS13" s="28">
        <v>1</v>
      </c>
    </row>
    <row r="14" s="1" customFormat="1" spans="1:45">
      <c r="A14" s="1" t="s">
        <v>112</v>
      </c>
      <c r="B14" s="1" t="s">
        <v>106</v>
      </c>
      <c r="C14" s="1">
        <v>8</v>
      </c>
      <c r="D14" s="4"/>
      <c r="E14" s="4"/>
      <c r="F14" s="4"/>
      <c r="G14" s="4"/>
      <c r="H14" s="4"/>
      <c r="I14" s="4"/>
      <c r="J14" s="4">
        <v>6</v>
      </c>
      <c r="K14" s="4"/>
      <c r="L14" s="4"/>
      <c r="M14" s="4"/>
      <c r="N14" s="4"/>
      <c r="O14" s="4"/>
      <c r="P14" s="4"/>
      <c r="Q14" s="4"/>
      <c r="R14" s="4"/>
      <c r="S14" s="4">
        <v>2</v>
      </c>
      <c r="T14" s="4"/>
      <c r="U14" s="4"/>
      <c r="V14" s="4"/>
      <c r="W14" s="4">
        <v>2</v>
      </c>
      <c r="X14" s="4"/>
      <c r="Y14" s="4"/>
      <c r="Z14" s="4">
        <v>2</v>
      </c>
      <c r="AA14" s="4"/>
      <c r="AB14" s="4"/>
      <c r="AC14" s="4"/>
      <c r="AD14" s="4"/>
      <c r="AE14" s="4"/>
      <c r="AF14" s="4">
        <v>2</v>
      </c>
      <c r="AG14" s="4">
        <v>4</v>
      </c>
      <c r="AH14" s="4">
        <v>4</v>
      </c>
      <c r="AI14" s="4"/>
      <c r="AJ14" s="4"/>
      <c r="AK14" s="4"/>
      <c r="AL14" s="4"/>
      <c r="AM14" s="4"/>
      <c r="AN14" s="1">
        <v>4880</v>
      </c>
      <c r="AO14" s="66" t="s">
        <v>102</v>
      </c>
      <c r="AP14" s="66">
        <v>2</v>
      </c>
      <c r="AQ14" s="44">
        <v>696</v>
      </c>
      <c r="AR14" s="28"/>
      <c r="AS14" s="28"/>
    </row>
    <row r="15" s="1" customFormat="1" spans="1:45">
      <c r="A15" s="1" t="s">
        <v>113</v>
      </c>
      <c r="B15" s="1" t="s">
        <v>114</v>
      </c>
      <c r="C15" s="1">
        <v>8</v>
      </c>
      <c r="D15" s="4"/>
      <c r="E15" s="4"/>
      <c r="F15" s="4"/>
      <c r="G15" s="4"/>
      <c r="H15" s="4"/>
      <c r="I15" s="4"/>
      <c r="J15" s="4">
        <v>2</v>
      </c>
      <c r="K15" s="4">
        <v>2</v>
      </c>
      <c r="L15" s="4"/>
      <c r="M15" s="4"/>
      <c r="N15" s="4"/>
      <c r="O15" s="4"/>
      <c r="P15" s="4">
        <v>2</v>
      </c>
      <c r="Q15" s="4"/>
      <c r="R15" s="4"/>
      <c r="S15" s="4"/>
      <c r="T15" s="4"/>
      <c r="U15" s="4">
        <v>2</v>
      </c>
      <c r="V15" s="4"/>
      <c r="W15" s="4">
        <v>2</v>
      </c>
      <c r="X15" s="4"/>
      <c r="Y15" s="4">
        <v>2</v>
      </c>
      <c r="Z15" s="4"/>
      <c r="AA15" s="4"/>
      <c r="AB15" s="4"/>
      <c r="AC15" s="4">
        <v>2</v>
      </c>
      <c r="AD15" s="4"/>
      <c r="AE15" s="4"/>
      <c r="AF15" s="4"/>
      <c r="AG15" s="4">
        <v>4</v>
      </c>
      <c r="AH15" s="4">
        <v>4</v>
      </c>
      <c r="AI15" s="4"/>
      <c r="AJ15" s="4"/>
      <c r="AK15" s="4"/>
      <c r="AL15" s="4"/>
      <c r="AM15" s="4"/>
      <c r="AN15" s="1">
        <v>4880</v>
      </c>
      <c r="AO15" s="66" t="s">
        <v>102</v>
      </c>
      <c r="AP15" s="66">
        <v>2</v>
      </c>
      <c r="AQ15" s="44">
        <v>696</v>
      </c>
      <c r="AR15" s="28"/>
      <c r="AS15" s="28"/>
    </row>
    <row r="16" s="1" customFormat="1" spans="1:45">
      <c r="A16" s="1" t="s">
        <v>115</v>
      </c>
      <c r="B16" s="1" t="s">
        <v>116</v>
      </c>
      <c r="C16" s="1">
        <v>8</v>
      </c>
      <c r="D16" s="4"/>
      <c r="E16" s="4"/>
      <c r="F16" s="4"/>
      <c r="G16" s="4"/>
      <c r="H16" s="4"/>
      <c r="I16" s="4"/>
      <c r="J16" s="4">
        <v>2</v>
      </c>
      <c r="K16" s="4">
        <v>2</v>
      </c>
      <c r="L16" s="4"/>
      <c r="M16" s="4"/>
      <c r="N16" s="4"/>
      <c r="O16" s="4"/>
      <c r="P16" s="4">
        <v>2</v>
      </c>
      <c r="Q16" s="4"/>
      <c r="R16" s="4"/>
      <c r="S16" s="4"/>
      <c r="T16" s="4"/>
      <c r="U16" s="4">
        <v>2</v>
      </c>
      <c r="V16" s="4"/>
      <c r="W16" s="4">
        <v>2</v>
      </c>
      <c r="X16" s="4"/>
      <c r="Y16" s="4">
        <v>2</v>
      </c>
      <c r="Z16" s="4"/>
      <c r="AA16" s="4"/>
      <c r="AB16" s="4"/>
      <c r="AC16" s="4">
        <v>2</v>
      </c>
      <c r="AD16" s="4"/>
      <c r="AE16" s="4"/>
      <c r="AF16" s="4"/>
      <c r="AG16" s="4">
        <v>4</v>
      </c>
      <c r="AH16" s="4">
        <v>4</v>
      </c>
      <c r="AI16" s="4"/>
      <c r="AJ16" s="4"/>
      <c r="AK16" s="4"/>
      <c r="AL16" s="4"/>
      <c r="AM16" s="4"/>
      <c r="AN16" s="1">
        <v>1265</v>
      </c>
      <c r="AO16" s="66" t="s">
        <v>102</v>
      </c>
      <c r="AP16" s="66">
        <v>2</v>
      </c>
      <c r="AQ16" s="44">
        <v>1100</v>
      </c>
      <c r="AR16" s="28"/>
      <c r="AS16" s="28"/>
    </row>
    <row r="17" s="1" customFormat="1" spans="1:45">
      <c r="A17" s="1" t="s">
        <v>117</v>
      </c>
      <c r="B17" s="1" t="s">
        <v>118</v>
      </c>
      <c r="C17" s="1">
        <v>8</v>
      </c>
      <c r="D17" s="4"/>
      <c r="E17" s="4"/>
      <c r="F17" s="4"/>
      <c r="G17" s="4"/>
      <c r="H17" s="4"/>
      <c r="I17" s="4"/>
      <c r="J17" s="4">
        <v>5</v>
      </c>
      <c r="K17" s="4">
        <v>2</v>
      </c>
      <c r="L17" s="4"/>
      <c r="M17" s="4"/>
      <c r="N17" s="4"/>
      <c r="O17" s="4"/>
      <c r="P17" s="4"/>
      <c r="Q17" s="4"/>
      <c r="R17" s="4"/>
      <c r="S17" s="4">
        <v>1</v>
      </c>
      <c r="T17" s="4"/>
      <c r="U17" s="4"/>
      <c r="V17" s="4"/>
      <c r="W17" s="4">
        <v>2</v>
      </c>
      <c r="X17" s="4"/>
      <c r="Y17" s="4"/>
      <c r="Z17" s="4">
        <v>2</v>
      </c>
      <c r="AA17" s="4"/>
      <c r="AB17" s="4"/>
      <c r="AC17" s="4"/>
      <c r="AD17" s="4"/>
      <c r="AE17" s="4"/>
      <c r="AF17" s="4">
        <v>2</v>
      </c>
      <c r="AG17" s="4">
        <v>4</v>
      </c>
      <c r="AH17" s="4">
        <v>4</v>
      </c>
      <c r="AI17" s="4"/>
      <c r="AJ17" s="4"/>
      <c r="AK17" s="4"/>
      <c r="AL17" s="4"/>
      <c r="AM17" s="4"/>
      <c r="AN17" s="1">
        <v>1265</v>
      </c>
      <c r="AO17" s="66" t="s">
        <v>102</v>
      </c>
      <c r="AP17" s="66">
        <v>2</v>
      </c>
      <c r="AQ17" s="44">
        <v>1100</v>
      </c>
      <c r="AR17" s="28"/>
      <c r="AS17" s="28"/>
    </row>
    <row r="18" s="1" customFormat="1" spans="1:45">
      <c r="A18" s="1" t="s">
        <v>119</v>
      </c>
      <c r="B18" s="1" t="s">
        <v>118</v>
      </c>
      <c r="C18" s="1">
        <v>8</v>
      </c>
      <c r="D18" s="4"/>
      <c r="E18" s="4"/>
      <c r="F18" s="4"/>
      <c r="G18" s="4"/>
      <c r="H18" s="4"/>
      <c r="I18" s="4"/>
      <c r="J18" s="4">
        <v>5</v>
      </c>
      <c r="K18" s="4">
        <v>2</v>
      </c>
      <c r="L18" s="4"/>
      <c r="M18" s="4"/>
      <c r="N18" s="4"/>
      <c r="O18" s="4"/>
      <c r="P18" s="4"/>
      <c r="Q18" s="4"/>
      <c r="R18" s="4"/>
      <c r="S18" s="4">
        <v>1</v>
      </c>
      <c r="T18" s="4"/>
      <c r="U18" s="4"/>
      <c r="V18" s="4"/>
      <c r="W18" s="4">
        <v>2</v>
      </c>
      <c r="X18" s="4"/>
      <c r="Y18" s="4"/>
      <c r="Z18" s="4">
        <v>2</v>
      </c>
      <c r="AA18" s="4"/>
      <c r="AB18" s="4"/>
      <c r="AC18" s="4"/>
      <c r="AD18" s="4"/>
      <c r="AE18" s="4"/>
      <c r="AF18" s="4">
        <v>2</v>
      </c>
      <c r="AG18" s="4">
        <v>4</v>
      </c>
      <c r="AH18" s="4">
        <v>4</v>
      </c>
      <c r="AI18" s="4"/>
      <c r="AJ18" s="4"/>
      <c r="AK18" s="4"/>
      <c r="AL18" s="4"/>
      <c r="AM18" s="4"/>
      <c r="AN18" s="1">
        <v>1265</v>
      </c>
      <c r="AO18" s="66" t="s">
        <v>102</v>
      </c>
      <c r="AP18" s="66">
        <v>2</v>
      </c>
      <c r="AQ18" s="44">
        <v>1100</v>
      </c>
      <c r="AR18" s="28"/>
      <c r="AS18" s="28"/>
    </row>
    <row r="19" s="1" customFormat="1" spans="1:45">
      <c r="A19" s="1" t="s">
        <v>120</v>
      </c>
      <c r="B19" s="1" t="s">
        <v>101</v>
      </c>
      <c r="C19" s="1">
        <v>12</v>
      </c>
      <c r="D19" s="4"/>
      <c r="E19" s="4"/>
      <c r="F19" s="4"/>
      <c r="G19" s="4"/>
      <c r="H19" s="4"/>
      <c r="I19" s="4"/>
      <c r="J19" s="4">
        <v>9</v>
      </c>
      <c r="K19" s="4">
        <v>3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>
        <v>3</v>
      </c>
      <c r="X19" s="4"/>
      <c r="Y19" s="4"/>
      <c r="Z19" s="4">
        <v>3</v>
      </c>
      <c r="AA19" s="4"/>
      <c r="AB19" s="4"/>
      <c r="AC19" s="4"/>
      <c r="AD19" s="4"/>
      <c r="AE19" s="4">
        <v>3</v>
      </c>
      <c r="AF19" s="4"/>
      <c r="AG19" s="4">
        <v>4</v>
      </c>
      <c r="AH19" s="4">
        <v>8</v>
      </c>
      <c r="AI19" s="4"/>
      <c r="AJ19" s="4"/>
      <c r="AK19" s="4"/>
      <c r="AL19" s="4"/>
      <c r="AM19" s="4"/>
      <c r="AN19" s="1">
        <v>4880</v>
      </c>
      <c r="AO19" s="66" t="s">
        <v>102</v>
      </c>
      <c r="AP19" s="66">
        <v>3</v>
      </c>
      <c r="AQ19" s="44">
        <v>408</v>
      </c>
      <c r="AR19" s="28"/>
      <c r="AS19" s="28"/>
    </row>
    <row r="20" s="1" customFormat="1" spans="1:45">
      <c r="A20" s="1" t="s">
        <v>121</v>
      </c>
      <c r="B20" s="1" t="s">
        <v>101</v>
      </c>
      <c r="C20" s="1">
        <v>12</v>
      </c>
      <c r="D20" s="4"/>
      <c r="E20" s="4"/>
      <c r="F20" s="4"/>
      <c r="G20" s="4"/>
      <c r="H20" s="4"/>
      <c r="I20" s="4"/>
      <c r="J20" s="4">
        <v>9</v>
      </c>
      <c r="K20" s="4">
        <v>3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>
        <v>3</v>
      </c>
      <c r="X20" s="4"/>
      <c r="Y20" s="4"/>
      <c r="Z20" s="4">
        <v>3</v>
      </c>
      <c r="AA20" s="4"/>
      <c r="AB20" s="4"/>
      <c r="AC20" s="4"/>
      <c r="AD20" s="4"/>
      <c r="AE20" s="4">
        <v>3</v>
      </c>
      <c r="AF20" s="4"/>
      <c r="AG20" s="4">
        <v>4</v>
      </c>
      <c r="AH20" s="4">
        <v>8</v>
      </c>
      <c r="AI20" s="4"/>
      <c r="AJ20" s="4"/>
      <c r="AK20" s="4"/>
      <c r="AL20" s="4"/>
      <c r="AM20" s="4"/>
      <c r="AN20" s="1">
        <v>4880</v>
      </c>
      <c r="AO20" s="66" t="s">
        <v>102</v>
      </c>
      <c r="AP20" s="66">
        <v>3</v>
      </c>
      <c r="AQ20" s="44">
        <v>408</v>
      </c>
      <c r="AR20" s="28" t="s">
        <v>102</v>
      </c>
      <c r="AS20" s="28">
        <v>1</v>
      </c>
    </row>
    <row r="21" s="1" customFormat="1" spans="1:45">
      <c r="A21" s="1" t="s">
        <v>122</v>
      </c>
      <c r="B21" s="1" t="s">
        <v>101</v>
      </c>
      <c r="C21" s="1">
        <v>12</v>
      </c>
      <c r="D21" s="4"/>
      <c r="E21" s="4"/>
      <c r="F21" s="4"/>
      <c r="G21" s="4"/>
      <c r="H21" s="4"/>
      <c r="I21" s="4"/>
      <c r="J21" s="4">
        <v>9</v>
      </c>
      <c r="K21" s="4">
        <v>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>
        <v>3</v>
      </c>
      <c r="X21" s="4"/>
      <c r="Y21" s="4"/>
      <c r="Z21" s="4">
        <v>3</v>
      </c>
      <c r="AA21" s="4"/>
      <c r="AB21" s="4"/>
      <c r="AC21" s="4"/>
      <c r="AD21" s="4"/>
      <c r="AE21" s="4">
        <v>3</v>
      </c>
      <c r="AF21" s="4"/>
      <c r="AG21" s="4">
        <v>4</v>
      </c>
      <c r="AH21" s="4">
        <v>8</v>
      </c>
      <c r="AI21" s="4"/>
      <c r="AJ21" s="4"/>
      <c r="AK21" s="4"/>
      <c r="AL21" s="4"/>
      <c r="AM21" s="4"/>
      <c r="AN21" s="1">
        <v>4880</v>
      </c>
      <c r="AO21" s="66" t="s">
        <v>102</v>
      </c>
      <c r="AP21" s="66">
        <v>3</v>
      </c>
      <c r="AQ21" s="44">
        <v>696</v>
      </c>
      <c r="AR21" s="28"/>
      <c r="AS21" s="28"/>
    </row>
    <row r="22" s="1" customFormat="1" spans="1:45">
      <c r="A22" s="1" t="s">
        <v>123</v>
      </c>
      <c r="B22" s="1" t="s">
        <v>101</v>
      </c>
      <c r="C22" s="1">
        <v>12</v>
      </c>
      <c r="D22" s="4"/>
      <c r="E22" s="4"/>
      <c r="F22" s="4"/>
      <c r="G22" s="4"/>
      <c r="H22" s="4"/>
      <c r="I22" s="4"/>
      <c r="J22" s="4">
        <v>9</v>
      </c>
      <c r="K22" s="4">
        <v>3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>
        <v>3</v>
      </c>
      <c r="X22" s="4"/>
      <c r="Y22" s="4"/>
      <c r="Z22" s="4">
        <v>3</v>
      </c>
      <c r="AA22" s="4"/>
      <c r="AB22" s="4"/>
      <c r="AC22" s="4"/>
      <c r="AD22" s="4"/>
      <c r="AE22" s="4">
        <v>3</v>
      </c>
      <c r="AF22" s="4"/>
      <c r="AG22" s="4">
        <v>4</v>
      </c>
      <c r="AH22" s="4">
        <v>8</v>
      </c>
      <c r="AI22" s="4"/>
      <c r="AJ22" s="4"/>
      <c r="AK22" s="4"/>
      <c r="AL22" s="4"/>
      <c r="AM22" s="4"/>
      <c r="AN22" s="1">
        <v>4880</v>
      </c>
      <c r="AO22" s="66" t="s">
        <v>102</v>
      </c>
      <c r="AP22" s="66">
        <v>3</v>
      </c>
      <c r="AQ22" s="44">
        <v>696</v>
      </c>
      <c r="AR22" s="28"/>
      <c r="AS22" s="28"/>
    </row>
    <row r="23" s="1" customFormat="1" spans="1:45">
      <c r="A23" s="1" t="s">
        <v>124</v>
      </c>
      <c r="B23" s="1" t="s">
        <v>101</v>
      </c>
      <c r="C23" s="1">
        <v>12</v>
      </c>
      <c r="D23" s="4"/>
      <c r="E23" s="4"/>
      <c r="F23" s="4"/>
      <c r="G23" s="4"/>
      <c r="H23" s="4"/>
      <c r="I23" s="4"/>
      <c r="J23" s="4">
        <v>9</v>
      </c>
      <c r="K23" s="4">
        <v>3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>
        <v>3</v>
      </c>
      <c r="X23" s="4"/>
      <c r="Y23" s="4"/>
      <c r="Z23" s="4">
        <v>3</v>
      </c>
      <c r="AA23" s="4"/>
      <c r="AB23" s="4"/>
      <c r="AC23" s="4"/>
      <c r="AD23" s="4"/>
      <c r="AE23" s="4">
        <v>3</v>
      </c>
      <c r="AF23" s="4"/>
      <c r="AG23" s="4">
        <v>4</v>
      </c>
      <c r="AH23" s="4">
        <v>8</v>
      </c>
      <c r="AI23" s="4"/>
      <c r="AJ23" s="4"/>
      <c r="AK23" s="4"/>
      <c r="AL23" s="4"/>
      <c r="AM23" s="4"/>
      <c r="AN23" s="1">
        <v>571</v>
      </c>
      <c r="AO23" s="66" t="s">
        <v>102</v>
      </c>
      <c r="AP23" s="66">
        <v>3</v>
      </c>
      <c r="AQ23" s="44">
        <v>702</v>
      </c>
      <c r="AR23" s="28"/>
      <c r="AS23" s="28"/>
    </row>
    <row r="24" s="1" customFormat="1" spans="1:45">
      <c r="A24" s="1" t="s">
        <v>125</v>
      </c>
      <c r="B24" s="1" t="s">
        <v>101</v>
      </c>
      <c r="C24" s="1">
        <v>12</v>
      </c>
      <c r="D24" s="4"/>
      <c r="E24" s="4"/>
      <c r="F24" s="4"/>
      <c r="G24" s="4"/>
      <c r="H24" s="4"/>
      <c r="I24" s="4"/>
      <c r="J24" s="4">
        <v>9</v>
      </c>
      <c r="K24" s="4">
        <v>3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>
        <v>3</v>
      </c>
      <c r="X24" s="4"/>
      <c r="Y24" s="4"/>
      <c r="Z24" s="4">
        <v>3</v>
      </c>
      <c r="AA24" s="4"/>
      <c r="AB24" s="4"/>
      <c r="AC24" s="4"/>
      <c r="AD24" s="4"/>
      <c r="AE24" s="4">
        <v>3</v>
      </c>
      <c r="AF24" s="4"/>
      <c r="AG24" s="4">
        <v>4</v>
      </c>
      <c r="AH24" s="4">
        <v>8</v>
      </c>
      <c r="AI24" s="4"/>
      <c r="AJ24" s="4"/>
      <c r="AK24" s="4"/>
      <c r="AL24" s="4"/>
      <c r="AM24" s="4"/>
      <c r="AN24" s="1">
        <v>571</v>
      </c>
      <c r="AO24" s="66" t="s">
        <v>102</v>
      </c>
      <c r="AP24" s="66">
        <v>3</v>
      </c>
      <c r="AQ24" s="44">
        <v>702</v>
      </c>
      <c r="AR24" s="28" t="s">
        <v>103</v>
      </c>
      <c r="AS24" s="28">
        <v>1</v>
      </c>
    </row>
    <row r="25" s="1" customFormat="1" spans="1:45">
      <c r="A25" s="1" t="s">
        <v>126</v>
      </c>
      <c r="B25" s="1" t="s">
        <v>101</v>
      </c>
      <c r="C25" s="1">
        <v>12</v>
      </c>
      <c r="D25" s="4"/>
      <c r="E25" s="4"/>
      <c r="F25" s="4"/>
      <c r="G25" s="4"/>
      <c r="H25" s="4"/>
      <c r="I25" s="4"/>
      <c r="J25" s="4">
        <v>9</v>
      </c>
      <c r="K25" s="4">
        <v>3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>
        <v>3</v>
      </c>
      <c r="X25" s="4"/>
      <c r="Y25" s="4"/>
      <c r="Z25" s="4">
        <v>3</v>
      </c>
      <c r="AA25" s="4"/>
      <c r="AB25" s="4"/>
      <c r="AC25" s="4"/>
      <c r="AD25" s="4"/>
      <c r="AE25" s="4">
        <v>3</v>
      </c>
      <c r="AF25" s="4"/>
      <c r="AG25" s="4">
        <v>4</v>
      </c>
      <c r="AH25" s="4">
        <v>8</v>
      </c>
      <c r="AI25" s="4"/>
      <c r="AJ25" s="4"/>
      <c r="AK25" s="4"/>
      <c r="AL25" s="4"/>
      <c r="AM25" s="4"/>
      <c r="AN25" s="1">
        <v>3008</v>
      </c>
      <c r="AO25" s="66" t="s">
        <v>102</v>
      </c>
      <c r="AP25" s="66">
        <v>3</v>
      </c>
      <c r="AQ25" s="44">
        <v>858</v>
      </c>
      <c r="AR25" s="28"/>
      <c r="AS25" s="28"/>
    </row>
    <row r="26" s="1" customFormat="1" spans="1:45">
      <c r="A26" s="1" t="s">
        <v>127</v>
      </c>
      <c r="B26" s="1" t="s">
        <v>101</v>
      </c>
      <c r="C26" s="1">
        <v>12</v>
      </c>
      <c r="D26" s="4"/>
      <c r="E26" s="4"/>
      <c r="F26" s="4"/>
      <c r="G26" s="4"/>
      <c r="H26" s="4"/>
      <c r="I26" s="4"/>
      <c r="J26" s="4">
        <v>9</v>
      </c>
      <c r="K26" s="4">
        <v>3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>
        <v>3</v>
      </c>
      <c r="X26" s="4"/>
      <c r="Y26" s="4"/>
      <c r="Z26" s="4">
        <v>3</v>
      </c>
      <c r="AA26" s="4"/>
      <c r="AB26" s="4"/>
      <c r="AC26" s="4"/>
      <c r="AD26" s="4"/>
      <c r="AE26" s="4">
        <v>3</v>
      </c>
      <c r="AF26" s="4"/>
      <c r="AG26" s="4">
        <v>4</v>
      </c>
      <c r="AH26" s="4">
        <v>8</v>
      </c>
      <c r="AI26" s="4"/>
      <c r="AJ26" s="4"/>
      <c r="AK26" s="4"/>
      <c r="AL26" s="4"/>
      <c r="AM26" s="4"/>
      <c r="AO26" s="66" t="s">
        <v>102</v>
      </c>
      <c r="AP26" s="66">
        <v>3</v>
      </c>
      <c r="AR26" s="28" t="s">
        <v>102</v>
      </c>
      <c r="AS26" s="28">
        <v>1</v>
      </c>
    </row>
    <row r="27" s="1" customFormat="1" spans="1:45">
      <c r="A27" s="1" t="s">
        <v>128</v>
      </c>
      <c r="B27" s="1" t="s">
        <v>101</v>
      </c>
      <c r="C27" s="1">
        <v>12</v>
      </c>
      <c r="D27" s="4"/>
      <c r="E27" s="4"/>
      <c r="F27" s="4"/>
      <c r="G27" s="4"/>
      <c r="H27" s="4"/>
      <c r="I27" s="4"/>
      <c r="J27" s="4">
        <v>9</v>
      </c>
      <c r="K27" s="4">
        <v>3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>
        <v>3</v>
      </c>
      <c r="X27" s="4"/>
      <c r="Y27" s="4"/>
      <c r="Z27" s="4">
        <v>3</v>
      </c>
      <c r="AA27" s="4"/>
      <c r="AB27" s="4"/>
      <c r="AC27" s="4"/>
      <c r="AD27" s="4"/>
      <c r="AE27" s="4">
        <v>3</v>
      </c>
      <c r="AF27" s="4"/>
      <c r="AG27" s="4">
        <v>4</v>
      </c>
      <c r="AH27" s="4">
        <v>8</v>
      </c>
      <c r="AI27" s="4"/>
      <c r="AJ27" s="4"/>
      <c r="AK27" s="4"/>
      <c r="AL27" s="4"/>
      <c r="AM27" s="4"/>
      <c r="AO27" s="66" t="s">
        <v>102</v>
      </c>
      <c r="AP27" s="66">
        <v>3</v>
      </c>
      <c r="AR27" s="28"/>
      <c r="AS27" s="28"/>
    </row>
    <row r="28" s="1" customFormat="1" spans="1:45">
      <c r="A28" s="1" t="s">
        <v>129</v>
      </c>
      <c r="B28" s="1" t="s">
        <v>101</v>
      </c>
      <c r="C28" s="1">
        <v>12</v>
      </c>
      <c r="D28" s="4"/>
      <c r="E28" s="4"/>
      <c r="F28" s="4"/>
      <c r="G28" s="4"/>
      <c r="H28" s="4"/>
      <c r="I28" s="4"/>
      <c r="J28" s="4">
        <v>9</v>
      </c>
      <c r="K28" s="4">
        <v>3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>
        <v>3</v>
      </c>
      <c r="X28" s="4"/>
      <c r="Y28" s="4"/>
      <c r="Z28" s="4">
        <v>3</v>
      </c>
      <c r="AA28" s="4"/>
      <c r="AB28" s="4"/>
      <c r="AC28" s="4"/>
      <c r="AD28" s="4"/>
      <c r="AE28" s="4">
        <v>3</v>
      </c>
      <c r="AF28" s="4"/>
      <c r="AG28" s="4">
        <v>4</v>
      </c>
      <c r="AH28" s="4">
        <v>8</v>
      </c>
      <c r="AI28" s="4"/>
      <c r="AJ28" s="4"/>
      <c r="AK28" s="4"/>
      <c r="AL28" s="4"/>
      <c r="AM28" s="4"/>
      <c r="AO28" s="66" t="s">
        <v>102</v>
      </c>
      <c r="AP28" s="66">
        <v>3</v>
      </c>
      <c r="AR28" s="28"/>
      <c r="AS28" s="28"/>
    </row>
    <row r="29" s="1" customFormat="1" spans="1:45">
      <c r="A29" s="1" t="s">
        <v>130</v>
      </c>
      <c r="B29" s="1" t="s">
        <v>101</v>
      </c>
      <c r="C29" s="1">
        <v>12</v>
      </c>
      <c r="D29" s="4"/>
      <c r="E29" s="4"/>
      <c r="F29" s="4"/>
      <c r="G29" s="4"/>
      <c r="H29" s="4"/>
      <c r="I29" s="4"/>
      <c r="J29" s="4">
        <v>9</v>
      </c>
      <c r="K29" s="4">
        <v>3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>
        <v>3</v>
      </c>
      <c r="X29" s="4"/>
      <c r="Y29" s="4"/>
      <c r="Z29" s="4">
        <v>3</v>
      </c>
      <c r="AA29" s="4"/>
      <c r="AB29" s="4"/>
      <c r="AC29" s="4"/>
      <c r="AD29" s="4"/>
      <c r="AE29" s="4">
        <v>3</v>
      </c>
      <c r="AF29" s="4"/>
      <c r="AG29" s="4">
        <v>4</v>
      </c>
      <c r="AH29" s="4">
        <v>8</v>
      </c>
      <c r="AI29" s="4"/>
      <c r="AJ29" s="4"/>
      <c r="AK29" s="4"/>
      <c r="AL29" s="4"/>
      <c r="AM29" s="4"/>
      <c r="AO29" s="66" t="s">
        <v>102</v>
      </c>
      <c r="AP29" s="66">
        <v>3</v>
      </c>
      <c r="AR29" s="28"/>
      <c r="AS29" s="28"/>
    </row>
    <row r="30" s="1" customFormat="1" spans="1:45">
      <c r="A30" s="1" t="s">
        <v>131</v>
      </c>
      <c r="B30" s="1" t="s">
        <v>101</v>
      </c>
      <c r="C30" s="1">
        <v>12</v>
      </c>
      <c r="D30" s="4"/>
      <c r="E30" s="4"/>
      <c r="F30" s="4"/>
      <c r="G30" s="4"/>
      <c r="H30" s="4"/>
      <c r="I30" s="4"/>
      <c r="J30" s="4">
        <v>9</v>
      </c>
      <c r="K30" s="4">
        <v>3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>
        <v>3</v>
      </c>
      <c r="X30" s="4"/>
      <c r="Y30" s="4"/>
      <c r="Z30" s="4">
        <v>3</v>
      </c>
      <c r="AA30" s="4"/>
      <c r="AB30" s="4"/>
      <c r="AC30" s="4"/>
      <c r="AD30" s="4"/>
      <c r="AE30" s="4">
        <v>3</v>
      </c>
      <c r="AF30" s="4"/>
      <c r="AG30" s="4">
        <v>4</v>
      </c>
      <c r="AH30" s="4">
        <v>8</v>
      </c>
      <c r="AI30" s="4"/>
      <c r="AJ30" s="4"/>
      <c r="AK30" s="4"/>
      <c r="AL30" s="4"/>
      <c r="AM30" s="4"/>
      <c r="AO30" s="66" t="s">
        <v>102</v>
      </c>
      <c r="AP30" s="66">
        <v>3</v>
      </c>
      <c r="AR30" s="28" t="s">
        <v>102</v>
      </c>
      <c r="AS30" s="28">
        <v>1</v>
      </c>
    </row>
    <row r="31" s="1" customFormat="1" spans="1:45">
      <c r="A31" s="1" t="s">
        <v>132</v>
      </c>
      <c r="B31" s="1" t="s">
        <v>101</v>
      </c>
      <c r="C31" s="1">
        <v>12</v>
      </c>
      <c r="D31" s="4"/>
      <c r="E31" s="4"/>
      <c r="F31" s="4"/>
      <c r="G31" s="4"/>
      <c r="H31" s="4"/>
      <c r="I31" s="4"/>
      <c r="J31" s="4">
        <v>9</v>
      </c>
      <c r="K31" s="4">
        <v>3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>
        <v>3</v>
      </c>
      <c r="X31" s="4"/>
      <c r="Y31" s="4"/>
      <c r="Z31" s="4">
        <v>3</v>
      </c>
      <c r="AA31" s="4"/>
      <c r="AB31" s="4"/>
      <c r="AC31" s="4"/>
      <c r="AD31" s="4"/>
      <c r="AE31" s="4">
        <v>3</v>
      </c>
      <c r="AF31" s="4"/>
      <c r="AG31" s="4">
        <v>4</v>
      </c>
      <c r="AH31" s="4">
        <v>8</v>
      </c>
      <c r="AI31" s="4"/>
      <c r="AJ31" s="4"/>
      <c r="AK31" s="4"/>
      <c r="AL31" s="4"/>
      <c r="AM31" s="4"/>
      <c r="AO31" s="66" t="s">
        <v>102</v>
      </c>
      <c r="AP31" s="66">
        <v>3</v>
      </c>
      <c r="AR31" s="28"/>
      <c r="AS31" s="28"/>
    </row>
    <row r="32" s="1" customFormat="1" spans="1:45">
      <c r="A32" s="1" t="s">
        <v>133</v>
      </c>
      <c r="B32" s="1" t="s">
        <v>101</v>
      </c>
      <c r="C32" s="1">
        <v>12</v>
      </c>
      <c r="D32" s="4"/>
      <c r="E32" s="4"/>
      <c r="F32" s="4"/>
      <c r="G32" s="4"/>
      <c r="H32" s="4"/>
      <c r="I32" s="4"/>
      <c r="J32" s="4">
        <v>9</v>
      </c>
      <c r="K32" s="4">
        <v>3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>
        <v>3</v>
      </c>
      <c r="X32" s="4"/>
      <c r="Y32" s="4"/>
      <c r="Z32" s="4">
        <v>3</v>
      </c>
      <c r="AA32" s="4"/>
      <c r="AB32" s="4"/>
      <c r="AC32" s="4"/>
      <c r="AD32" s="4"/>
      <c r="AE32" s="4">
        <v>3</v>
      </c>
      <c r="AF32" s="4"/>
      <c r="AG32" s="4">
        <v>4</v>
      </c>
      <c r="AH32" s="4">
        <v>8</v>
      </c>
      <c r="AI32" s="4"/>
      <c r="AJ32" s="4"/>
      <c r="AK32" s="4"/>
      <c r="AL32" s="4"/>
      <c r="AM32" s="4"/>
      <c r="AO32" s="66" t="s">
        <v>102</v>
      </c>
      <c r="AP32" s="66">
        <v>3</v>
      </c>
      <c r="AR32" s="28"/>
      <c r="AS32" s="28"/>
    </row>
    <row r="33" s="10" customFormat="1" ht="14.4" customHeight="1" spans="1:45">
      <c r="A33" s="10" t="s">
        <v>134</v>
      </c>
      <c r="B33" s="10" t="s">
        <v>106</v>
      </c>
      <c r="C33" s="10">
        <v>8</v>
      </c>
      <c r="D33" s="4"/>
      <c r="E33" s="4"/>
      <c r="F33" s="4"/>
      <c r="G33" s="4"/>
      <c r="H33" s="4"/>
      <c r="I33" s="4"/>
      <c r="J33" s="4">
        <v>6</v>
      </c>
      <c r="K33" s="4"/>
      <c r="L33" s="4"/>
      <c r="M33" s="4"/>
      <c r="N33" s="4"/>
      <c r="O33" s="4"/>
      <c r="P33" s="4"/>
      <c r="Q33" s="4"/>
      <c r="R33" s="4"/>
      <c r="S33" s="4">
        <v>2</v>
      </c>
      <c r="T33" s="4"/>
      <c r="U33" s="4"/>
      <c r="V33" s="4"/>
      <c r="W33" s="4">
        <v>2</v>
      </c>
      <c r="X33" s="4"/>
      <c r="Y33" s="4"/>
      <c r="Z33" s="4">
        <v>2</v>
      </c>
      <c r="AA33" s="4"/>
      <c r="AB33" s="4"/>
      <c r="AC33" s="4"/>
      <c r="AD33" s="4"/>
      <c r="AE33" s="4"/>
      <c r="AF33" s="4">
        <v>2</v>
      </c>
      <c r="AG33" s="4">
        <v>4</v>
      </c>
      <c r="AH33" s="4">
        <v>4</v>
      </c>
      <c r="AI33" s="4"/>
      <c r="AJ33" s="4"/>
      <c r="AK33" s="4"/>
      <c r="AL33" s="4"/>
      <c r="AM33" s="4"/>
      <c r="AO33" s="66" t="s">
        <v>102</v>
      </c>
      <c r="AP33" s="66">
        <v>2</v>
      </c>
      <c r="AR33" s="28"/>
      <c r="AS33" s="28"/>
    </row>
    <row r="34" s="1" customFormat="1" spans="1:45">
      <c r="A34" s="1" t="s">
        <v>135</v>
      </c>
      <c r="B34" s="1" t="s">
        <v>114</v>
      </c>
      <c r="C34" s="1">
        <v>8</v>
      </c>
      <c r="D34" s="4"/>
      <c r="E34" s="4"/>
      <c r="F34" s="4"/>
      <c r="G34" s="4"/>
      <c r="H34" s="4"/>
      <c r="I34" s="4"/>
      <c r="J34" s="4">
        <v>2</v>
      </c>
      <c r="K34" s="4">
        <v>2</v>
      </c>
      <c r="L34" s="4"/>
      <c r="M34" s="4"/>
      <c r="N34" s="4"/>
      <c r="O34" s="4"/>
      <c r="P34" s="4">
        <v>2</v>
      </c>
      <c r="Q34" s="4"/>
      <c r="R34" s="4"/>
      <c r="S34" s="4"/>
      <c r="T34" s="4"/>
      <c r="U34" s="4">
        <v>2</v>
      </c>
      <c r="V34" s="4"/>
      <c r="W34" s="4">
        <v>2</v>
      </c>
      <c r="X34" s="4"/>
      <c r="Y34" s="4">
        <v>2</v>
      </c>
      <c r="Z34" s="4"/>
      <c r="AA34" s="4"/>
      <c r="AB34" s="4"/>
      <c r="AC34" s="4">
        <v>2</v>
      </c>
      <c r="AD34" s="4"/>
      <c r="AE34" s="4"/>
      <c r="AF34" s="4"/>
      <c r="AG34" s="4">
        <v>4</v>
      </c>
      <c r="AH34" s="4">
        <v>4</v>
      </c>
      <c r="AI34" s="4"/>
      <c r="AJ34" s="4"/>
      <c r="AK34" s="4"/>
      <c r="AL34" s="4"/>
      <c r="AM34" s="4"/>
      <c r="AO34" s="66" t="s">
        <v>102</v>
      </c>
      <c r="AP34" s="66">
        <v>2</v>
      </c>
      <c r="AR34" s="28"/>
      <c r="AS34" s="28"/>
    </row>
    <row r="35" s="1" customFormat="1" spans="1:45">
      <c r="A35" s="1" t="s">
        <v>136</v>
      </c>
      <c r="B35" s="1" t="s">
        <v>116</v>
      </c>
      <c r="C35" s="1">
        <v>8</v>
      </c>
      <c r="D35" s="4"/>
      <c r="E35" s="4"/>
      <c r="F35" s="4"/>
      <c r="G35" s="4"/>
      <c r="H35" s="4"/>
      <c r="I35" s="4"/>
      <c r="J35" s="4">
        <v>2</v>
      </c>
      <c r="K35" s="4">
        <v>2</v>
      </c>
      <c r="L35" s="4"/>
      <c r="M35" s="4"/>
      <c r="N35" s="4"/>
      <c r="O35" s="4"/>
      <c r="P35" s="4">
        <v>2</v>
      </c>
      <c r="Q35" s="4"/>
      <c r="R35" s="4"/>
      <c r="S35" s="4"/>
      <c r="T35" s="4"/>
      <c r="U35" s="4">
        <v>2</v>
      </c>
      <c r="V35" s="4"/>
      <c r="W35" s="4">
        <v>2</v>
      </c>
      <c r="X35" s="4"/>
      <c r="Y35" s="4">
        <v>2</v>
      </c>
      <c r="Z35" s="4"/>
      <c r="AA35" s="4"/>
      <c r="AB35" s="4"/>
      <c r="AC35" s="4">
        <v>2</v>
      </c>
      <c r="AD35" s="4"/>
      <c r="AE35" s="4"/>
      <c r="AF35" s="4"/>
      <c r="AG35" s="4">
        <v>4</v>
      </c>
      <c r="AH35" s="4">
        <v>4</v>
      </c>
      <c r="AI35" s="4"/>
      <c r="AJ35" s="4"/>
      <c r="AK35" s="4"/>
      <c r="AL35" s="4"/>
      <c r="AM35" s="4"/>
      <c r="AO35" s="66" t="s">
        <v>102</v>
      </c>
      <c r="AP35" s="66">
        <v>2</v>
      </c>
      <c r="AR35" s="28" t="s">
        <v>102</v>
      </c>
      <c r="AS35" s="28">
        <v>1</v>
      </c>
    </row>
    <row r="36" s="1" customFormat="1" spans="1:45">
      <c r="A36" s="1" t="s">
        <v>137</v>
      </c>
      <c r="B36" s="1" t="s">
        <v>118</v>
      </c>
      <c r="C36" s="1">
        <v>8</v>
      </c>
      <c r="D36" s="4"/>
      <c r="E36" s="4"/>
      <c r="F36" s="4"/>
      <c r="G36" s="4"/>
      <c r="H36" s="4"/>
      <c r="I36" s="4"/>
      <c r="J36" s="4">
        <v>5</v>
      </c>
      <c r="K36" s="4">
        <v>2</v>
      </c>
      <c r="L36" s="4"/>
      <c r="M36" s="4"/>
      <c r="N36" s="4"/>
      <c r="O36" s="4"/>
      <c r="P36" s="4"/>
      <c r="Q36" s="4"/>
      <c r="R36" s="4"/>
      <c r="S36" s="4">
        <v>1</v>
      </c>
      <c r="T36" s="4"/>
      <c r="U36" s="4"/>
      <c r="V36" s="4"/>
      <c r="W36" s="4">
        <v>2</v>
      </c>
      <c r="X36" s="4"/>
      <c r="Y36" s="4"/>
      <c r="Z36" s="4">
        <v>2</v>
      </c>
      <c r="AA36" s="4"/>
      <c r="AB36" s="4"/>
      <c r="AC36" s="4"/>
      <c r="AD36" s="4"/>
      <c r="AE36" s="4"/>
      <c r="AF36" s="4">
        <v>2</v>
      </c>
      <c r="AG36" s="4">
        <v>4</v>
      </c>
      <c r="AH36" s="4">
        <v>4</v>
      </c>
      <c r="AI36" s="4"/>
      <c r="AJ36" s="4"/>
      <c r="AK36" s="4"/>
      <c r="AL36" s="4"/>
      <c r="AM36" s="4"/>
      <c r="AO36" s="41" t="s">
        <v>102</v>
      </c>
      <c r="AP36" s="41">
        <v>2</v>
      </c>
      <c r="AR36" s="28"/>
      <c r="AS36" s="28"/>
    </row>
    <row r="37" s="1" customFormat="1" spans="1:45">
      <c r="A37" s="1" t="s">
        <v>138</v>
      </c>
      <c r="B37" s="1" t="s">
        <v>101</v>
      </c>
      <c r="C37" s="1">
        <v>12</v>
      </c>
      <c r="D37" s="4"/>
      <c r="E37" s="4"/>
      <c r="F37" s="4"/>
      <c r="G37" s="4"/>
      <c r="H37" s="4"/>
      <c r="I37" s="4"/>
      <c r="J37" s="4">
        <v>9</v>
      </c>
      <c r="K37" s="4">
        <v>3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>
        <v>3</v>
      </c>
      <c r="X37" s="4"/>
      <c r="Y37" s="4"/>
      <c r="Z37" s="4">
        <v>3</v>
      </c>
      <c r="AA37" s="4"/>
      <c r="AB37" s="4"/>
      <c r="AC37" s="4"/>
      <c r="AD37" s="4"/>
      <c r="AE37" s="4">
        <v>3</v>
      </c>
      <c r="AF37" s="4"/>
      <c r="AG37" s="4">
        <v>4</v>
      </c>
      <c r="AH37" s="4">
        <v>8</v>
      </c>
      <c r="AI37" s="4"/>
      <c r="AJ37" s="4"/>
      <c r="AK37" s="4"/>
      <c r="AL37" s="4"/>
      <c r="AM37" s="4"/>
      <c r="AO37" s="41" t="s">
        <v>102</v>
      </c>
      <c r="AP37" s="41">
        <v>3</v>
      </c>
      <c r="AR37" s="28"/>
      <c r="AS37" s="28"/>
    </row>
    <row r="38" s="1" customFormat="1" spans="1:45">
      <c r="A38" s="1" t="s">
        <v>139</v>
      </c>
      <c r="B38" s="1" t="s">
        <v>101</v>
      </c>
      <c r="C38" s="1">
        <v>12</v>
      </c>
      <c r="D38" s="4"/>
      <c r="E38" s="4"/>
      <c r="F38" s="4"/>
      <c r="G38" s="4"/>
      <c r="H38" s="4"/>
      <c r="I38" s="4"/>
      <c r="J38" s="4">
        <v>9</v>
      </c>
      <c r="K38" s="4">
        <v>3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>
        <v>3</v>
      </c>
      <c r="X38" s="4"/>
      <c r="Y38" s="4"/>
      <c r="Z38" s="4">
        <v>3</v>
      </c>
      <c r="AA38" s="4"/>
      <c r="AB38" s="4"/>
      <c r="AC38" s="4"/>
      <c r="AD38" s="4"/>
      <c r="AE38" s="4">
        <v>3</v>
      </c>
      <c r="AF38" s="4"/>
      <c r="AG38" s="4">
        <v>4</v>
      </c>
      <c r="AH38" s="4">
        <v>8</v>
      </c>
      <c r="AI38" s="4"/>
      <c r="AJ38" s="4"/>
      <c r="AK38" s="4"/>
      <c r="AL38" s="4"/>
      <c r="AM38" s="4"/>
      <c r="AO38" s="41" t="s">
        <v>102</v>
      </c>
      <c r="AP38" s="41">
        <v>3</v>
      </c>
      <c r="AR38" s="28"/>
      <c r="AS38" s="28"/>
    </row>
    <row r="39" s="1" customFormat="1" spans="1:45">
      <c r="A39" s="1" t="s">
        <v>140</v>
      </c>
      <c r="B39" s="1" t="s">
        <v>101</v>
      </c>
      <c r="C39" s="1">
        <v>12</v>
      </c>
      <c r="D39" s="4"/>
      <c r="E39" s="4"/>
      <c r="F39" s="4"/>
      <c r="G39" s="4"/>
      <c r="H39" s="4"/>
      <c r="I39" s="4"/>
      <c r="J39" s="4">
        <v>9</v>
      </c>
      <c r="K39" s="4">
        <v>3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>
        <v>3</v>
      </c>
      <c r="X39" s="4"/>
      <c r="Y39" s="4"/>
      <c r="Z39" s="4">
        <v>3</v>
      </c>
      <c r="AA39" s="4"/>
      <c r="AB39" s="4"/>
      <c r="AC39" s="4"/>
      <c r="AD39" s="4"/>
      <c r="AE39" s="4">
        <v>3</v>
      </c>
      <c r="AF39" s="4"/>
      <c r="AG39" s="4">
        <v>4</v>
      </c>
      <c r="AH39" s="4">
        <v>8</v>
      </c>
      <c r="AI39" s="4"/>
      <c r="AJ39" s="4"/>
      <c r="AK39" s="4"/>
      <c r="AL39" s="4"/>
      <c r="AM39" s="4"/>
      <c r="AO39" s="41" t="s">
        <v>102</v>
      </c>
      <c r="AP39" s="41">
        <v>3</v>
      </c>
      <c r="AR39" s="28"/>
      <c r="AS39" s="28"/>
    </row>
    <row r="40" s="1" customFormat="1" spans="1:45">
      <c r="A40" s="1" t="s">
        <v>141</v>
      </c>
      <c r="B40" s="1" t="s">
        <v>101</v>
      </c>
      <c r="C40" s="1">
        <v>12</v>
      </c>
      <c r="D40" s="4"/>
      <c r="E40" s="4"/>
      <c r="F40" s="4"/>
      <c r="G40" s="4"/>
      <c r="H40" s="4"/>
      <c r="I40" s="4"/>
      <c r="J40" s="4">
        <v>9</v>
      </c>
      <c r="K40" s="4">
        <v>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>
        <v>3</v>
      </c>
      <c r="X40" s="4"/>
      <c r="Y40" s="4"/>
      <c r="Z40" s="4">
        <v>3</v>
      </c>
      <c r="AA40" s="4"/>
      <c r="AB40" s="4"/>
      <c r="AC40" s="4"/>
      <c r="AD40" s="4"/>
      <c r="AE40" s="4">
        <v>3</v>
      </c>
      <c r="AF40" s="4"/>
      <c r="AG40" s="4">
        <v>4</v>
      </c>
      <c r="AH40" s="4">
        <v>8</v>
      </c>
      <c r="AI40" s="4"/>
      <c r="AJ40" s="4"/>
      <c r="AK40" s="4"/>
      <c r="AL40" s="4"/>
      <c r="AM40" s="4"/>
      <c r="AO40" s="41" t="s">
        <v>102</v>
      </c>
      <c r="AP40" s="41">
        <v>3</v>
      </c>
      <c r="AR40" s="28" t="s">
        <v>102</v>
      </c>
      <c r="AS40" s="28">
        <v>1</v>
      </c>
    </row>
    <row r="41" s="1" customFormat="1" spans="1:45">
      <c r="A41" s="1" t="s">
        <v>142</v>
      </c>
      <c r="B41" s="1" t="s">
        <v>101</v>
      </c>
      <c r="C41" s="1">
        <v>12</v>
      </c>
      <c r="D41" s="4"/>
      <c r="E41" s="4"/>
      <c r="F41" s="4"/>
      <c r="G41" s="4"/>
      <c r="H41" s="4"/>
      <c r="I41" s="4"/>
      <c r="J41" s="4">
        <v>9</v>
      </c>
      <c r="K41" s="4">
        <v>3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>
        <v>3</v>
      </c>
      <c r="X41" s="4"/>
      <c r="Y41" s="4"/>
      <c r="Z41" s="4">
        <v>3</v>
      </c>
      <c r="AA41" s="4"/>
      <c r="AB41" s="4"/>
      <c r="AC41" s="4"/>
      <c r="AD41" s="4"/>
      <c r="AE41" s="4">
        <v>3</v>
      </c>
      <c r="AF41" s="4"/>
      <c r="AG41" s="4">
        <v>4</v>
      </c>
      <c r="AH41" s="4">
        <v>8</v>
      </c>
      <c r="AI41" s="4"/>
      <c r="AJ41" s="4"/>
      <c r="AK41" s="4"/>
      <c r="AL41" s="4"/>
      <c r="AM41" s="4"/>
      <c r="AO41" s="41" t="s">
        <v>102</v>
      </c>
      <c r="AP41" s="41">
        <v>3</v>
      </c>
      <c r="AR41" s="28"/>
      <c r="AS41" s="28"/>
    </row>
    <row r="42" s="1" customFormat="1" spans="1:45">
      <c r="A42" s="1" t="s">
        <v>143</v>
      </c>
      <c r="B42" s="1" t="s">
        <v>101</v>
      </c>
      <c r="C42" s="1">
        <v>12</v>
      </c>
      <c r="D42" s="4"/>
      <c r="E42" s="4"/>
      <c r="F42" s="4"/>
      <c r="G42" s="4"/>
      <c r="H42" s="4"/>
      <c r="I42" s="4"/>
      <c r="J42" s="4">
        <v>9</v>
      </c>
      <c r="K42" s="4">
        <v>3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>
        <v>3</v>
      </c>
      <c r="X42" s="4"/>
      <c r="Y42" s="4"/>
      <c r="Z42" s="4">
        <v>3</v>
      </c>
      <c r="AA42" s="4"/>
      <c r="AB42" s="4"/>
      <c r="AC42" s="4"/>
      <c r="AD42" s="4"/>
      <c r="AE42" s="4">
        <v>3</v>
      </c>
      <c r="AF42" s="4"/>
      <c r="AG42" s="4">
        <v>4</v>
      </c>
      <c r="AH42" s="4">
        <v>8</v>
      </c>
      <c r="AI42" s="4"/>
      <c r="AJ42" s="4"/>
      <c r="AK42" s="4"/>
      <c r="AL42" s="4"/>
      <c r="AM42" s="4"/>
      <c r="AO42" s="41" t="s">
        <v>102</v>
      </c>
      <c r="AP42" s="41">
        <v>3</v>
      </c>
      <c r="AR42" s="28"/>
      <c r="AS42" s="28"/>
    </row>
    <row r="43" s="1" customFormat="1" spans="1:45">
      <c r="A43" s="1" t="s">
        <v>144</v>
      </c>
      <c r="B43" s="1" t="s">
        <v>145</v>
      </c>
      <c r="C43" s="1">
        <v>4</v>
      </c>
      <c r="D43" s="4"/>
      <c r="E43" s="4">
        <v>1</v>
      </c>
      <c r="F43" s="4"/>
      <c r="G43" s="4">
        <v>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>
        <v>1</v>
      </c>
      <c r="AH43" s="4">
        <v>2</v>
      </c>
      <c r="AI43" s="4">
        <v>1</v>
      </c>
      <c r="AJ43" s="4"/>
      <c r="AK43" s="4"/>
      <c r="AL43" s="4"/>
      <c r="AM43" s="4"/>
      <c r="AO43" s="29" t="s">
        <v>103</v>
      </c>
      <c r="AP43" s="29">
        <v>1</v>
      </c>
      <c r="AR43" s="28"/>
      <c r="AS43" s="28"/>
    </row>
    <row r="44" s="1" customFormat="1" spans="1:45">
      <c r="A44" s="1" t="s">
        <v>146</v>
      </c>
      <c r="B44" s="1" t="s">
        <v>147</v>
      </c>
      <c r="C44" s="1">
        <v>7</v>
      </c>
      <c r="D44" s="4"/>
      <c r="E44" s="4"/>
      <c r="F44" s="4"/>
      <c r="G44" s="4">
        <v>7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>
        <v>1</v>
      </c>
      <c r="AH44" s="4">
        <v>2</v>
      </c>
      <c r="AI44" s="4">
        <v>2</v>
      </c>
      <c r="AJ44" s="4">
        <v>2</v>
      </c>
      <c r="AK44" s="4"/>
      <c r="AL44" s="4"/>
      <c r="AM44" s="4"/>
      <c r="AO44" s="66" t="s">
        <v>102</v>
      </c>
      <c r="AP44" s="66">
        <v>1</v>
      </c>
      <c r="AR44" s="28"/>
      <c r="AS44" s="28"/>
    </row>
    <row r="45" s="1" customFormat="1" spans="1:45">
      <c r="A45" s="1" t="s">
        <v>148</v>
      </c>
      <c r="B45" s="1" t="s">
        <v>149</v>
      </c>
      <c r="C45" s="1">
        <v>10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>
        <v>3</v>
      </c>
      <c r="Q45" s="4">
        <v>2</v>
      </c>
      <c r="R45" s="4"/>
      <c r="S45" s="4"/>
      <c r="T45" s="4"/>
      <c r="U45" s="4">
        <v>5</v>
      </c>
      <c r="V45" s="4"/>
      <c r="W45" s="4">
        <v>5</v>
      </c>
      <c r="X45" s="4"/>
      <c r="Y45" s="4"/>
      <c r="Z45" s="4"/>
      <c r="AA45" s="4"/>
      <c r="AB45" s="4"/>
      <c r="AC45" s="4"/>
      <c r="AD45" s="4"/>
      <c r="AE45" s="4"/>
      <c r="AF45" s="4"/>
      <c r="AG45" s="4">
        <v>2</v>
      </c>
      <c r="AH45" s="4">
        <v>4</v>
      </c>
      <c r="AI45" s="4">
        <v>4</v>
      </c>
      <c r="AJ45" s="4"/>
      <c r="AK45" s="4"/>
      <c r="AL45" s="4"/>
      <c r="AM45" s="4"/>
      <c r="AO45" s="41" t="s">
        <v>102</v>
      </c>
      <c r="AP45" s="41">
        <v>2</v>
      </c>
      <c r="AR45" s="28" t="s">
        <v>102</v>
      </c>
      <c r="AS45" s="28">
        <v>1</v>
      </c>
    </row>
    <row r="46" s="1" customFormat="1" spans="1:45">
      <c r="A46" s="1" t="s">
        <v>150</v>
      </c>
      <c r="B46" s="1" t="s">
        <v>151</v>
      </c>
      <c r="C46" s="1">
        <v>4</v>
      </c>
      <c r="D46" s="4"/>
      <c r="E46" s="4"/>
      <c r="F46" s="4"/>
      <c r="G46" s="4"/>
      <c r="H46" s="4"/>
      <c r="I46" s="4"/>
      <c r="J46" s="4">
        <v>4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>
        <v>2</v>
      </c>
      <c r="X46" s="4"/>
      <c r="Y46" s="4"/>
      <c r="Z46" s="4"/>
      <c r="AA46" s="4"/>
      <c r="AB46" s="4"/>
      <c r="AC46" s="4"/>
      <c r="AD46" s="4"/>
      <c r="AE46" s="4"/>
      <c r="AF46" s="4"/>
      <c r="AG46" s="4">
        <v>2</v>
      </c>
      <c r="AH46" s="4">
        <v>2</v>
      </c>
      <c r="AI46" s="4"/>
      <c r="AJ46" s="4"/>
      <c r="AK46" s="4"/>
      <c r="AL46" s="4"/>
      <c r="AM46" s="4"/>
      <c r="AO46" s="41" t="s">
        <v>102</v>
      </c>
      <c r="AP46" s="41">
        <v>1</v>
      </c>
      <c r="AR46" s="28"/>
      <c r="AS46" s="28"/>
    </row>
    <row r="47" s="1" customFormat="1" spans="1:45">
      <c r="A47" s="1" t="s">
        <v>152</v>
      </c>
      <c r="B47" s="1" t="s">
        <v>153</v>
      </c>
      <c r="C47" s="1">
        <v>12</v>
      </c>
      <c r="D47" s="4">
        <v>4</v>
      </c>
      <c r="E47" s="4"/>
      <c r="F47" s="4"/>
      <c r="G47" s="4"/>
      <c r="H47" s="4"/>
      <c r="I47" s="4"/>
      <c r="J47" s="71">
        <v>7</v>
      </c>
      <c r="K47" s="4"/>
      <c r="L47" s="4"/>
      <c r="M47" s="4"/>
      <c r="N47" s="4"/>
      <c r="O47" s="4"/>
      <c r="P47" s="4"/>
      <c r="Q47" s="4"/>
      <c r="R47" s="4"/>
      <c r="S47" s="4">
        <v>1</v>
      </c>
      <c r="T47" s="4"/>
      <c r="U47" s="4"/>
      <c r="V47" s="4"/>
      <c r="W47" s="4">
        <v>4</v>
      </c>
      <c r="X47" s="4"/>
      <c r="Y47" s="4"/>
      <c r="Z47" s="4">
        <v>4</v>
      </c>
      <c r="AA47" s="4"/>
      <c r="AB47" s="4"/>
      <c r="AC47" s="4"/>
      <c r="AD47" s="4"/>
      <c r="AE47" s="4"/>
      <c r="AF47" s="4"/>
      <c r="AG47" s="4">
        <v>3</v>
      </c>
      <c r="AH47" s="4">
        <v>6</v>
      </c>
      <c r="AI47" s="4">
        <v>3</v>
      </c>
      <c r="AJ47" s="4"/>
      <c r="AK47" s="4"/>
      <c r="AL47" s="4"/>
      <c r="AM47" s="4"/>
      <c r="AO47" s="41" t="s">
        <v>102</v>
      </c>
      <c r="AP47" s="41">
        <v>4</v>
      </c>
      <c r="AR47" s="28"/>
      <c r="AS47" s="28"/>
    </row>
    <row r="48" s="1" customFormat="1" spans="1:45">
      <c r="A48" s="1" t="s">
        <v>154</v>
      </c>
      <c r="B48" s="1" t="s">
        <v>153</v>
      </c>
      <c r="C48" s="1">
        <v>12</v>
      </c>
      <c r="D48" s="4">
        <v>4</v>
      </c>
      <c r="E48" s="4"/>
      <c r="F48" s="4"/>
      <c r="G48" s="4"/>
      <c r="H48" s="4"/>
      <c r="I48" s="4"/>
      <c r="J48" s="71">
        <v>7</v>
      </c>
      <c r="K48" s="4"/>
      <c r="L48" s="4"/>
      <c r="M48" s="4"/>
      <c r="N48" s="4"/>
      <c r="O48" s="4"/>
      <c r="P48" s="4"/>
      <c r="Q48" s="4"/>
      <c r="R48" s="4"/>
      <c r="S48" s="4">
        <v>1</v>
      </c>
      <c r="T48" s="4"/>
      <c r="U48" s="4"/>
      <c r="V48" s="4"/>
      <c r="W48" s="4">
        <v>4</v>
      </c>
      <c r="X48" s="4"/>
      <c r="Y48" s="4"/>
      <c r="Z48" s="4">
        <v>4</v>
      </c>
      <c r="AA48" s="4"/>
      <c r="AB48" s="4"/>
      <c r="AC48" s="4"/>
      <c r="AD48" s="4"/>
      <c r="AE48" s="4"/>
      <c r="AF48" s="4"/>
      <c r="AG48" s="4">
        <v>3</v>
      </c>
      <c r="AH48" s="4">
        <v>6</v>
      </c>
      <c r="AI48" s="4">
        <v>3</v>
      </c>
      <c r="AJ48" s="4"/>
      <c r="AK48" s="4"/>
      <c r="AL48" s="4"/>
      <c r="AM48" s="4"/>
      <c r="AO48" s="41" t="s">
        <v>102</v>
      </c>
      <c r="AP48" s="41">
        <v>4</v>
      </c>
      <c r="AR48" s="28"/>
      <c r="AS48" s="28"/>
    </row>
    <row r="49" s="1" customFormat="1" spans="1:45">
      <c r="A49" s="1" t="s">
        <v>155</v>
      </c>
      <c r="B49" s="1" t="s">
        <v>153</v>
      </c>
      <c r="C49" s="1">
        <v>12</v>
      </c>
      <c r="D49" s="4">
        <v>4</v>
      </c>
      <c r="E49" s="4"/>
      <c r="F49" s="4"/>
      <c r="G49" s="4"/>
      <c r="H49" s="4"/>
      <c r="I49" s="4"/>
      <c r="J49" s="71">
        <v>7</v>
      </c>
      <c r="K49" s="4"/>
      <c r="L49" s="4"/>
      <c r="M49" s="4"/>
      <c r="N49" s="4"/>
      <c r="O49" s="4"/>
      <c r="P49" s="4"/>
      <c r="Q49" s="4"/>
      <c r="R49" s="4"/>
      <c r="S49" s="4">
        <v>1</v>
      </c>
      <c r="T49" s="4"/>
      <c r="U49" s="4"/>
      <c r="V49" s="4"/>
      <c r="W49" s="4">
        <v>4</v>
      </c>
      <c r="X49" s="4"/>
      <c r="Y49" s="4"/>
      <c r="Z49" s="4">
        <v>4</v>
      </c>
      <c r="AA49" s="4"/>
      <c r="AB49" s="4"/>
      <c r="AC49" s="4"/>
      <c r="AD49" s="4"/>
      <c r="AE49" s="4"/>
      <c r="AF49" s="4"/>
      <c r="AG49" s="4">
        <v>3</v>
      </c>
      <c r="AH49" s="4">
        <v>6</v>
      </c>
      <c r="AI49" s="4">
        <v>3</v>
      </c>
      <c r="AJ49" s="4"/>
      <c r="AK49" s="4"/>
      <c r="AL49" s="4"/>
      <c r="AM49" s="4"/>
      <c r="AO49" s="41" t="s">
        <v>102</v>
      </c>
      <c r="AP49" s="41">
        <v>4</v>
      </c>
      <c r="AR49" s="28" t="s">
        <v>102</v>
      </c>
      <c r="AS49" s="28">
        <v>1</v>
      </c>
    </row>
    <row r="50" s="1" customFormat="1" spans="1:45">
      <c r="A50" s="1" t="s">
        <v>156</v>
      </c>
      <c r="B50" s="1" t="s">
        <v>153</v>
      </c>
      <c r="C50" s="1">
        <v>12</v>
      </c>
      <c r="D50" s="4">
        <v>4</v>
      </c>
      <c r="E50" s="4"/>
      <c r="F50" s="4"/>
      <c r="G50" s="4"/>
      <c r="H50" s="4"/>
      <c r="I50" s="4"/>
      <c r="J50" s="71">
        <v>7</v>
      </c>
      <c r="K50" s="4"/>
      <c r="L50" s="4"/>
      <c r="M50" s="4"/>
      <c r="N50" s="4"/>
      <c r="O50" s="4"/>
      <c r="P50" s="4"/>
      <c r="Q50" s="4"/>
      <c r="R50" s="4"/>
      <c r="S50" s="4">
        <v>1</v>
      </c>
      <c r="T50" s="4"/>
      <c r="U50" s="4"/>
      <c r="V50" s="4"/>
      <c r="W50" s="4">
        <v>4</v>
      </c>
      <c r="X50" s="4"/>
      <c r="Y50" s="4"/>
      <c r="Z50" s="4">
        <v>4</v>
      </c>
      <c r="AA50" s="4"/>
      <c r="AB50" s="4"/>
      <c r="AC50" s="4"/>
      <c r="AD50" s="4"/>
      <c r="AE50" s="4"/>
      <c r="AF50" s="4"/>
      <c r="AG50" s="4">
        <v>3</v>
      </c>
      <c r="AH50" s="4">
        <v>6</v>
      </c>
      <c r="AI50" s="4">
        <v>3</v>
      </c>
      <c r="AJ50" s="4"/>
      <c r="AK50" s="4"/>
      <c r="AL50" s="4"/>
      <c r="AM50" s="4"/>
      <c r="AO50" s="41" t="s">
        <v>102</v>
      </c>
      <c r="AP50" s="41">
        <v>4</v>
      </c>
      <c r="AR50" s="28"/>
      <c r="AS50" s="28"/>
    </row>
    <row r="51" s="1" customFormat="1" spans="1:45">
      <c r="A51" s="1" t="s">
        <v>157</v>
      </c>
      <c r="B51" s="1" t="s">
        <v>153</v>
      </c>
      <c r="C51" s="1">
        <v>12</v>
      </c>
      <c r="D51" s="4">
        <v>4</v>
      </c>
      <c r="E51" s="4"/>
      <c r="F51" s="4"/>
      <c r="G51" s="4"/>
      <c r="H51" s="4"/>
      <c r="I51" s="4"/>
      <c r="J51" s="71">
        <v>7</v>
      </c>
      <c r="K51" s="4"/>
      <c r="L51" s="4"/>
      <c r="M51" s="4"/>
      <c r="N51" s="4"/>
      <c r="O51" s="4"/>
      <c r="P51" s="4"/>
      <c r="Q51" s="4"/>
      <c r="R51" s="4"/>
      <c r="S51" s="4">
        <v>1</v>
      </c>
      <c r="T51" s="4"/>
      <c r="U51" s="4"/>
      <c r="V51" s="4"/>
      <c r="W51" s="4">
        <v>4</v>
      </c>
      <c r="X51" s="4"/>
      <c r="Y51" s="4"/>
      <c r="Z51" s="4">
        <v>4</v>
      </c>
      <c r="AA51" s="4"/>
      <c r="AB51" s="4"/>
      <c r="AC51" s="4"/>
      <c r="AD51" s="4"/>
      <c r="AE51" s="4"/>
      <c r="AF51" s="4"/>
      <c r="AG51" s="4">
        <v>3</v>
      </c>
      <c r="AH51" s="4">
        <v>6</v>
      </c>
      <c r="AI51" s="4">
        <v>3</v>
      </c>
      <c r="AJ51" s="4"/>
      <c r="AK51" s="4"/>
      <c r="AL51" s="4"/>
      <c r="AM51" s="4"/>
      <c r="AO51" s="41" t="s">
        <v>102</v>
      </c>
      <c r="AP51" s="41">
        <v>4</v>
      </c>
      <c r="AR51" s="28"/>
      <c r="AS51" s="28"/>
    </row>
    <row r="52" s="1" customFormat="1" spans="1:45">
      <c r="A52" s="1" t="s">
        <v>158</v>
      </c>
      <c r="B52" s="1" t="s">
        <v>159</v>
      </c>
      <c r="C52" s="1">
        <v>9</v>
      </c>
      <c r="D52" s="4"/>
      <c r="E52" s="4">
        <v>3</v>
      </c>
      <c r="F52" s="4"/>
      <c r="G52" s="4"/>
      <c r="H52" s="4"/>
      <c r="I52" s="4"/>
      <c r="J52" s="4">
        <v>3</v>
      </c>
      <c r="K52" s="4"/>
      <c r="L52" s="4"/>
      <c r="M52" s="4"/>
      <c r="N52" s="4"/>
      <c r="O52" s="4"/>
      <c r="P52" s="4"/>
      <c r="Q52" s="4"/>
      <c r="R52" s="4"/>
      <c r="S52" s="4">
        <v>3</v>
      </c>
      <c r="T52" s="4"/>
      <c r="U52" s="4"/>
      <c r="V52" s="4"/>
      <c r="W52" s="4">
        <v>3</v>
      </c>
      <c r="X52" s="4"/>
      <c r="Y52" s="4"/>
      <c r="Z52" s="4">
        <v>3</v>
      </c>
      <c r="AA52" s="4"/>
      <c r="AB52" s="4"/>
      <c r="AC52" s="4"/>
      <c r="AD52" s="4"/>
      <c r="AE52" s="4"/>
      <c r="AF52" s="4"/>
      <c r="AG52" s="4">
        <v>3</v>
      </c>
      <c r="AH52" s="4">
        <v>6</v>
      </c>
      <c r="AI52" s="4"/>
      <c r="AJ52" s="4"/>
      <c r="AK52" s="4"/>
      <c r="AL52" s="4"/>
      <c r="AM52" s="4"/>
      <c r="AO52" s="41" t="s">
        <v>102</v>
      </c>
      <c r="AP52" s="41">
        <v>3</v>
      </c>
      <c r="AR52" s="28"/>
      <c r="AS52" s="28"/>
    </row>
    <row r="53" s="1" customFormat="1" spans="1:45">
      <c r="A53" s="1" t="s">
        <v>160</v>
      </c>
      <c r="B53" s="1" t="s">
        <v>159</v>
      </c>
      <c r="C53" s="1">
        <v>9</v>
      </c>
      <c r="D53" s="4"/>
      <c r="E53" s="4">
        <v>3</v>
      </c>
      <c r="F53" s="4"/>
      <c r="G53" s="4"/>
      <c r="H53" s="4"/>
      <c r="I53" s="4"/>
      <c r="J53" s="4">
        <v>3</v>
      </c>
      <c r="K53" s="4"/>
      <c r="L53" s="4"/>
      <c r="M53" s="4"/>
      <c r="N53" s="4"/>
      <c r="O53" s="4"/>
      <c r="P53" s="4"/>
      <c r="Q53" s="4"/>
      <c r="R53" s="4"/>
      <c r="S53" s="4">
        <v>3</v>
      </c>
      <c r="T53" s="4"/>
      <c r="U53" s="4"/>
      <c r="V53" s="4"/>
      <c r="W53" s="4">
        <v>3</v>
      </c>
      <c r="X53" s="4"/>
      <c r="Y53" s="4"/>
      <c r="Z53" s="4">
        <v>3</v>
      </c>
      <c r="AA53" s="4"/>
      <c r="AB53" s="4"/>
      <c r="AC53" s="4"/>
      <c r="AD53" s="4"/>
      <c r="AE53" s="4"/>
      <c r="AF53" s="4"/>
      <c r="AG53" s="4">
        <v>3</v>
      </c>
      <c r="AH53" s="4">
        <v>6</v>
      </c>
      <c r="AI53" s="4"/>
      <c r="AJ53" s="4"/>
      <c r="AK53" s="4"/>
      <c r="AL53" s="4"/>
      <c r="AM53" s="4"/>
      <c r="AO53" s="41" t="s">
        <v>102</v>
      </c>
      <c r="AP53" s="41">
        <v>3</v>
      </c>
      <c r="AR53" s="28" t="s">
        <v>103</v>
      </c>
      <c r="AS53" s="28">
        <v>1</v>
      </c>
    </row>
    <row r="54" s="1" customFormat="1" spans="1:45">
      <c r="A54" s="1" t="s">
        <v>161</v>
      </c>
      <c r="B54" s="1" t="s">
        <v>162</v>
      </c>
      <c r="C54" s="1">
        <v>6</v>
      </c>
      <c r="D54" s="4">
        <v>2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>
        <v>2</v>
      </c>
      <c r="Q54" s="4"/>
      <c r="R54" s="4"/>
      <c r="S54" s="4"/>
      <c r="T54" s="4"/>
      <c r="U54" s="4">
        <v>2</v>
      </c>
      <c r="V54" s="4"/>
      <c r="W54" s="4">
        <v>2</v>
      </c>
      <c r="X54" s="4"/>
      <c r="Y54" s="4">
        <v>2</v>
      </c>
      <c r="Z54" s="4"/>
      <c r="AA54" s="4"/>
      <c r="AB54" s="4"/>
      <c r="AC54" s="4"/>
      <c r="AD54" s="4"/>
      <c r="AE54" s="4"/>
      <c r="AF54" s="4"/>
      <c r="AG54" s="4">
        <v>3</v>
      </c>
      <c r="AH54" s="4">
        <v>3</v>
      </c>
      <c r="AI54" s="4"/>
      <c r="AJ54" s="4"/>
      <c r="AK54" s="4"/>
      <c r="AL54" s="4"/>
      <c r="AM54" s="4"/>
      <c r="AO54" s="41" t="s">
        <v>102</v>
      </c>
      <c r="AP54" s="41">
        <v>2</v>
      </c>
      <c r="AR54" s="28"/>
      <c r="AS54" s="28"/>
    </row>
    <row r="55" s="1" customFormat="1" spans="1:45">
      <c r="A55" s="1" t="s">
        <v>163</v>
      </c>
      <c r="B55" s="1" t="s">
        <v>164</v>
      </c>
      <c r="C55" s="1">
        <v>3</v>
      </c>
      <c r="D55" s="4"/>
      <c r="E55" s="4"/>
      <c r="F55" s="4"/>
      <c r="G55" s="4">
        <v>1</v>
      </c>
      <c r="H55" s="4"/>
      <c r="I55" s="4"/>
      <c r="J55" s="4"/>
      <c r="K55" s="4"/>
      <c r="L55" s="4"/>
      <c r="M55" s="4"/>
      <c r="N55" s="4"/>
      <c r="O55" s="4"/>
      <c r="P55" s="4">
        <v>1</v>
      </c>
      <c r="Q55" s="4"/>
      <c r="R55" s="4"/>
      <c r="S55" s="4"/>
      <c r="T55" s="4"/>
      <c r="U55" s="4">
        <v>1</v>
      </c>
      <c r="V55" s="4"/>
      <c r="W55" s="4">
        <v>1</v>
      </c>
      <c r="X55" s="4"/>
      <c r="Y55" s="4">
        <v>1</v>
      </c>
      <c r="Z55" s="4"/>
      <c r="AA55" s="4"/>
      <c r="AB55" s="4"/>
      <c r="AC55" s="4"/>
      <c r="AD55" s="4"/>
      <c r="AE55" s="4"/>
      <c r="AF55" s="4"/>
      <c r="AG55" s="4">
        <v>3</v>
      </c>
      <c r="AH55" s="4"/>
      <c r="AI55" s="4"/>
      <c r="AJ55" s="4"/>
      <c r="AK55" s="4"/>
      <c r="AL55" s="4"/>
      <c r="AM55" s="4"/>
      <c r="AO55" s="41" t="s">
        <v>102</v>
      </c>
      <c r="AP55" s="41">
        <v>1</v>
      </c>
      <c r="AR55" s="28"/>
      <c r="AS55" s="28"/>
    </row>
    <row r="56" s="1" customFormat="1" spans="1:45">
      <c r="A56" s="1" t="s">
        <v>165</v>
      </c>
      <c r="B56" s="1" t="s">
        <v>164</v>
      </c>
      <c r="C56" s="1">
        <v>3</v>
      </c>
      <c r="D56" s="4"/>
      <c r="E56" s="4"/>
      <c r="F56" s="4"/>
      <c r="G56" s="4">
        <v>1</v>
      </c>
      <c r="H56" s="4"/>
      <c r="I56" s="4"/>
      <c r="J56" s="4"/>
      <c r="K56" s="4"/>
      <c r="L56" s="4"/>
      <c r="M56" s="4"/>
      <c r="N56" s="4"/>
      <c r="O56" s="4"/>
      <c r="P56" s="4">
        <v>1</v>
      </c>
      <c r="Q56" s="4"/>
      <c r="R56" s="4"/>
      <c r="S56" s="4"/>
      <c r="T56" s="4"/>
      <c r="U56" s="4">
        <v>1</v>
      </c>
      <c r="V56" s="4"/>
      <c r="W56" s="4">
        <v>1</v>
      </c>
      <c r="X56" s="4"/>
      <c r="Y56" s="4">
        <v>1</v>
      </c>
      <c r="Z56" s="4"/>
      <c r="AA56" s="4"/>
      <c r="AB56" s="4"/>
      <c r="AC56" s="4"/>
      <c r="AD56" s="4"/>
      <c r="AE56" s="4"/>
      <c r="AF56" s="4"/>
      <c r="AG56" s="4">
        <v>3</v>
      </c>
      <c r="AH56" s="4"/>
      <c r="AI56" s="4"/>
      <c r="AJ56" s="4"/>
      <c r="AK56" s="4"/>
      <c r="AL56" s="4"/>
      <c r="AM56" s="4"/>
      <c r="AO56" s="41" t="s">
        <v>102</v>
      </c>
      <c r="AP56" s="41">
        <v>1</v>
      </c>
      <c r="AR56" s="28"/>
      <c r="AS56" s="28"/>
    </row>
    <row r="57" s="1" customFormat="1" spans="1:45">
      <c r="A57" s="1" t="s">
        <v>166</v>
      </c>
      <c r="B57" s="1" t="s">
        <v>159</v>
      </c>
      <c r="C57" s="1">
        <v>9</v>
      </c>
      <c r="D57" s="4"/>
      <c r="E57" s="4">
        <v>3</v>
      </c>
      <c r="F57" s="4"/>
      <c r="G57" s="4"/>
      <c r="H57" s="4"/>
      <c r="I57" s="4"/>
      <c r="J57" s="4">
        <v>3</v>
      </c>
      <c r="K57" s="4"/>
      <c r="L57" s="4"/>
      <c r="M57" s="4"/>
      <c r="N57" s="4"/>
      <c r="O57" s="4"/>
      <c r="P57" s="4"/>
      <c r="Q57" s="4"/>
      <c r="R57" s="4"/>
      <c r="S57" s="4">
        <v>3</v>
      </c>
      <c r="T57" s="4"/>
      <c r="U57" s="4"/>
      <c r="V57" s="4"/>
      <c r="W57" s="4">
        <v>3</v>
      </c>
      <c r="X57" s="4"/>
      <c r="Y57" s="4"/>
      <c r="Z57" s="4">
        <v>3</v>
      </c>
      <c r="AA57" s="4"/>
      <c r="AB57" s="4"/>
      <c r="AC57" s="4"/>
      <c r="AD57" s="4"/>
      <c r="AE57" s="4"/>
      <c r="AF57" s="4"/>
      <c r="AG57" s="4">
        <v>3</v>
      </c>
      <c r="AH57" s="4">
        <v>6</v>
      </c>
      <c r="AI57" s="4"/>
      <c r="AJ57" s="4"/>
      <c r="AK57" s="4"/>
      <c r="AL57" s="4"/>
      <c r="AM57" s="4"/>
      <c r="AO57" s="41" t="s">
        <v>102</v>
      </c>
      <c r="AP57" s="41">
        <v>3</v>
      </c>
      <c r="AR57" s="28" t="s">
        <v>102</v>
      </c>
      <c r="AS57" s="28">
        <v>1</v>
      </c>
    </row>
    <row r="58" s="1" customFormat="1" spans="1:45">
      <c r="A58" s="1" t="s">
        <v>167</v>
      </c>
      <c r="B58" s="1" t="s">
        <v>168</v>
      </c>
      <c r="C58" s="1">
        <v>12</v>
      </c>
      <c r="D58" s="4">
        <v>4</v>
      </c>
      <c r="E58" s="4"/>
      <c r="F58" s="4"/>
      <c r="G58" s="4"/>
      <c r="H58" s="4"/>
      <c r="I58" s="4"/>
      <c r="J58" s="4">
        <v>7</v>
      </c>
      <c r="K58" s="4"/>
      <c r="L58" s="4"/>
      <c r="M58" s="4"/>
      <c r="N58" s="4"/>
      <c r="O58" s="4"/>
      <c r="P58" s="4"/>
      <c r="Q58" s="4"/>
      <c r="R58" s="4"/>
      <c r="S58" s="4">
        <v>1</v>
      </c>
      <c r="T58" s="4"/>
      <c r="U58" s="4"/>
      <c r="V58" s="4"/>
      <c r="W58" s="4">
        <v>4</v>
      </c>
      <c r="X58" s="4"/>
      <c r="Y58" s="4"/>
      <c r="Z58" s="4">
        <v>4</v>
      </c>
      <c r="AA58" s="4"/>
      <c r="AB58" s="4"/>
      <c r="AC58" s="4"/>
      <c r="AD58" s="4"/>
      <c r="AE58" s="4"/>
      <c r="AF58" s="4"/>
      <c r="AG58" s="4">
        <v>3</v>
      </c>
      <c r="AH58" s="4">
        <v>6</v>
      </c>
      <c r="AI58" s="4">
        <v>3</v>
      </c>
      <c r="AJ58" s="4"/>
      <c r="AK58" s="4"/>
      <c r="AL58" s="4"/>
      <c r="AM58" s="4"/>
      <c r="AO58" s="41" t="s">
        <v>102</v>
      </c>
      <c r="AP58" s="41">
        <v>4</v>
      </c>
      <c r="AR58" s="28"/>
      <c r="AS58" s="28"/>
    </row>
    <row r="59" s="1" customFormat="1" spans="1:45">
      <c r="A59" s="1" t="s">
        <v>169</v>
      </c>
      <c r="B59" s="1" t="s">
        <v>168</v>
      </c>
      <c r="C59" s="1">
        <v>12</v>
      </c>
      <c r="D59" s="4">
        <v>4</v>
      </c>
      <c r="E59" s="4"/>
      <c r="F59" s="4"/>
      <c r="G59" s="4"/>
      <c r="H59" s="4"/>
      <c r="I59" s="4"/>
      <c r="J59" s="4">
        <v>7</v>
      </c>
      <c r="K59" s="4"/>
      <c r="L59" s="4"/>
      <c r="M59" s="4"/>
      <c r="N59" s="4"/>
      <c r="O59" s="4"/>
      <c r="P59" s="4"/>
      <c r="Q59" s="4"/>
      <c r="R59" s="4"/>
      <c r="S59" s="4">
        <v>1</v>
      </c>
      <c r="T59" s="4"/>
      <c r="U59" s="4"/>
      <c r="V59" s="4"/>
      <c r="W59" s="4">
        <v>4</v>
      </c>
      <c r="X59" s="4"/>
      <c r="Y59" s="4"/>
      <c r="Z59" s="4">
        <v>4</v>
      </c>
      <c r="AA59" s="4"/>
      <c r="AB59" s="4"/>
      <c r="AC59" s="4"/>
      <c r="AD59" s="4"/>
      <c r="AE59" s="4"/>
      <c r="AF59" s="4"/>
      <c r="AG59" s="4">
        <v>3</v>
      </c>
      <c r="AH59" s="4">
        <v>6</v>
      </c>
      <c r="AI59" s="4">
        <v>3</v>
      </c>
      <c r="AJ59" s="4"/>
      <c r="AK59" s="4"/>
      <c r="AL59" s="4"/>
      <c r="AM59" s="4"/>
      <c r="AO59" s="41" t="s">
        <v>102</v>
      </c>
      <c r="AP59" s="41">
        <v>4</v>
      </c>
      <c r="AR59" s="28"/>
      <c r="AS59" s="28"/>
    </row>
    <row r="60" s="1" customFormat="1" spans="1:45">
      <c r="A60" s="1" t="s">
        <v>170</v>
      </c>
      <c r="B60" s="1" t="s">
        <v>168</v>
      </c>
      <c r="C60" s="1">
        <v>12</v>
      </c>
      <c r="D60" s="4">
        <v>4</v>
      </c>
      <c r="E60" s="4"/>
      <c r="F60" s="4"/>
      <c r="G60" s="4"/>
      <c r="H60" s="4"/>
      <c r="I60" s="4"/>
      <c r="J60" s="4">
        <v>7</v>
      </c>
      <c r="K60" s="4"/>
      <c r="L60" s="4"/>
      <c r="M60" s="4"/>
      <c r="N60" s="4"/>
      <c r="O60" s="4"/>
      <c r="P60" s="4"/>
      <c r="Q60" s="4"/>
      <c r="R60" s="4"/>
      <c r="S60" s="4">
        <v>1</v>
      </c>
      <c r="T60" s="4"/>
      <c r="U60" s="4"/>
      <c r="V60" s="4"/>
      <c r="W60" s="4">
        <v>4</v>
      </c>
      <c r="X60" s="4"/>
      <c r="Y60" s="4"/>
      <c r="Z60" s="4">
        <v>4</v>
      </c>
      <c r="AA60" s="4"/>
      <c r="AB60" s="4"/>
      <c r="AC60" s="4"/>
      <c r="AD60" s="4"/>
      <c r="AE60" s="4"/>
      <c r="AF60" s="4"/>
      <c r="AG60" s="4">
        <v>3</v>
      </c>
      <c r="AH60" s="4">
        <v>6</v>
      </c>
      <c r="AI60" s="4">
        <v>3</v>
      </c>
      <c r="AJ60" s="4"/>
      <c r="AK60" s="4"/>
      <c r="AL60" s="4"/>
      <c r="AM60" s="4"/>
      <c r="AO60" s="41" t="s">
        <v>102</v>
      </c>
      <c r="AP60" s="41">
        <v>4</v>
      </c>
      <c r="AR60" s="28"/>
      <c r="AS60" s="28"/>
    </row>
    <row r="61" s="1" customFormat="1" spans="1:45">
      <c r="A61" s="1" t="s">
        <v>171</v>
      </c>
      <c r="B61" s="1" t="s">
        <v>172</v>
      </c>
      <c r="C61" s="1">
        <v>8</v>
      </c>
      <c r="D61" s="4"/>
      <c r="E61" s="4"/>
      <c r="F61" s="4"/>
      <c r="G61" s="4"/>
      <c r="H61" s="4"/>
      <c r="I61" s="4"/>
      <c r="J61" s="4">
        <v>3</v>
      </c>
      <c r="K61" s="4"/>
      <c r="L61" s="4"/>
      <c r="M61" s="4"/>
      <c r="N61" s="4"/>
      <c r="O61" s="4"/>
      <c r="P61" s="4"/>
      <c r="Q61" s="4">
        <v>2</v>
      </c>
      <c r="R61" s="4"/>
      <c r="S61" s="4">
        <v>1</v>
      </c>
      <c r="T61" s="4"/>
      <c r="U61" s="4">
        <v>2</v>
      </c>
      <c r="V61" s="4"/>
      <c r="W61" s="4">
        <v>2</v>
      </c>
      <c r="X61" s="4"/>
      <c r="Y61" s="4"/>
      <c r="Z61" s="4">
        <v>2</v>
      </c>
      <c r="AA61" s="4"/>
      <c r="AB61" s="4"/>
      <c r="AC61" s="4"/>
      <c r="AD61" s="4"/>
      <c r="AE61" s="4"/>
      <c r="AF61" s="4">
        <v>2</v>
      </c>
      <c r="AG61" s="4">
        <v>4</v>
      </c>
      <c r="AH61" s="4">
        <v>4</v>
      </c>
      <c r="AI61" s="4"/>
      <c r="AJ61" s="4"/>
      <c r="AK61" s="4"/>
      <c r="AL61" s="4"/>
      <c r="AM61" s="4"/>
      <c r="AO61" s="41" t="s">
        <v>102</v>
      </c>
      <c r="AP61" s="41">
        <v>2</v>
      </c>
      <c r="AR61" s="28" t="s">
        <v>102</v>
      </c>
      <c r="AS61" s="28">
        <v>1</v>
      </c>
    </row>
    <row r="62" s="1" customFormat="1" spans="1:45">
      <c r="A62" s="1" t="s">
        <v>173</v>
      </c>
      <c r="B62" s="1" t="s">
        <v>172</v>
      </c>
      <c r="C62" s="1">
        <v>8</v>
      </c>
      <c r="D62" s="4"/>
      <c r="E62" s="4"/>
      <c r="F62" s="4"/>
      <c r="G62" s="4"/>
      <c r="H62" s="4"/>
      <c r="I62" s="4"/>
      <c r="J62" s="4">
        <v>3</v>
      </c>
      <c r="K62" s="4"/>
      <c r="L62" s="4"/>
      <c r="M62" s="4"/>
      <c r="N62" s="4"/>
      <c r="O62" s="4"/>
      <c r="P62" s="4"/>
      <c r="Q62" s="4">
        <v>2</v>
      </c>
      <c r="R62" s="4"/>
      <c r="S62" s="4">
        <v>1</v>
      </c>
      <c r="T62" s="4"/>
      <c r="U62" s="4">
        <v>2</v>
      </c>
      <c r="V62" s="4"/>
      <c r="W62" s="4">
        <v>2</v>
      </c>
      <c r="X62" s="4"/>
      <c r="Y62" s="4"/>
      <c r="Z62" s="4">
        <v>2</v>
      </c>
      <c r="AA62" s="4"/>
      <c r="AB62" s="4"/>
      <c r="AC62" s="4"/>
      <c r="AD62" s="4"/>
      <c r="AE62" s="4"/>
      <c r="AF62" s="4">
        <v>2</v>
      </c>
      <c r="AG62" s="4">
        <v>4</v>
      </c>
      <c r="AH62" s="4">
        <v>4</v>
      </c>
      <c r="AI62" s="4"/>
      <c r="AJ62" s="4"/>
      <c r="AK62" s="4"/>
      <c r="AL62" s="4"/>
      <c r="AM62" s="4"/>
      <c r="AO62" s="41" t="s">
        <v>102</v>
      </c>
      <c r="AP62" s="41">
        <v>2</v>
      </c>
      <c r="AR62" s="28"/>
      <c r="AS62" s="28"/>
    </row>
    <row r="63" s="1" customFormat="1" spans="1:45">
      <c r="A63" s="1" t="s">
        <v>174</v>
      </c>
      <c r="B63" s="1" t="s">
        <v>175</v>
      </c>
      <c r="C63" s="1">
        <v>12</v>
      </c>
      <c r="D63" s="4"/>
      <c r="E63" s="4"/>
      <c r="F63" s="4"/>
      <c r="G63" s="4"/>
      <c r="H63" s="4"/>
      <c r="I63" s="4"/>
      <c r="J63" s="4">
        <v>3</v>
      </c>
      <c r="K63" s="4"/>
      <c r="L63" s="4"/>
      <c r="M63" s="4"/>
      <c r="N63" s="4"/>
      <c r="O63" s="4"/>
      <c r="P63" s="4">
        <v>3</v>
      </c>
      <c r="Q63" s="4"/>
      <c r="R63" s="4"/>
      <c r="S63" s="4">
        <v>3</v>
      </c>
      <c r="T63" s="4"/>
      <c r="U63" s="4">
        <v>3</v>
      </c>
      <c r="V63" s="4"/>
      <c r="W63" s="4">
        <v>3</v>
      </c>
      <c r="X63" s="4"/>
      <c r="Y63" s="4"/>
      <c r="Z63" s="4">
        <v>3</v>
      </c>
      <c r="AA63" s="4"/>
      <c r="AB63" s="4"/>
      <c r="AC63" s="4"/>
      <c r="AD63" s="4"/>
      <c r="AE63" s="4"/>
      <c r="AF63" s="4">
        <v>3</v>
      </c>
      <c r="AG63" s="4">
        <v>4</v>
      </c>
      <c r="AH63" s="4">
        <v>8</v>
      </c>
      <c r="AI63" s="4"/>
      <c r="AJ63" s="4"/>
      <c r="AK63" s="4"/>
      <c r="AL63" s="4"/>
      <c r="AM63" s="4"/>
      <c r="AO63" s="41" t="s">
        <v>102</v>
      </c>
      <c r="AP63" s="41">
        <v>3</v>
      </c>
      <c r="AR63" s="28"/>
      <c r="AS63" s="28"/>
    </row>
    <row r="64" s="1" customFormat="1" spans="1:45">
      <c r="A64" s="1" t="s">
        <v>176</v>
      </c>
      <c r="B64" s="1" t="s">
        <v>175</v>
      </c>
      <c r="C64" s="1">
        <v>12</v>
      </c>
      <c r="D64" s="4"/>
      <c r="E64" s="4"/>
      <c r="F64" s="4"/>
      <c r="G64" s="4"/>
      <c r="H64" s="4"/>
      <c r="I64" s="4"/>
      <c r="J64" s="4">
        <v>3</v>
      </c>
      <c r="K64" s="4"/>
      <c r="L64" s="4"/>
      <c r="M64" s="4"/>
      <c r="N64" s="4"/>
      <c r="O64" s="4"/>
      <c r="P64" s="4">
        <v>3</v>
      </c>
      <c r="Q64" s="4"/>
      <c r="R64" s="4"/>
      <c r="S64" s="4">
        <v>3</v>
      </c>
      <c r="T64" s="4"/>
      <c r="U64" s="4">
        <v>3</v>
      </c>
      <c r="V64" s="4"/>
      <c r="W64" s="4">
        <v>3</v>
      </c>
      <c r="X64" s="4"/>
      <c r="Y64" s="4"/>
      <c r="Z64" s="4">
        <v>3</v>
      </c>
      <c r="AA64" s="4"/>
      <c r="AB64" s="4"/>
      <c r="AC64" s="4"/>
      <c r="AD64" s="4"/>
      <c r="AE64" s="4"/>
      <c r="AF64" s="4">
        <v>3</v>
      </c>
      <c r="AG64" s="4">
        <v>4</v>
      </c>
      <c r="AH64" s="4">
        <v>8</v>
      </c>
      <c r="AI64" s="4"/>
      <c r="AJ64" s="4"/>
      <c r="AK64" s="4"/>
      <c r="AL64" s="4"/>
      <c r="AM64" s="4"/>
      <c r="AO64" s="41" t="s">
        <v>102</v>
      </c>
      <c r="AP64" s="41">
        <v>3</v>
      </c>
      <c r="AR64" s="28"/>
      <c r="AS64" s="28"/>
    </row>
    <row r="65" s="1" customFormat="1" spans="1:45">
      <c r="A65" s="1" t="s">
        <v>177</v>
      </c>
      <c r="B65" s="1" t="s">
        <v>175</v>
      </c>
      <c r="C65" s="1">
        <v>12</v>
      </c>
      <c r="D65" s="4"/>
      <c r="E65" s="4"/>
      <c r="F65" s="4"/>
      <c r="G65" s="4"/>
      <c r="H65" s="4"/>
      <c r="I65" s="4"/>
      <c r="J65" s="4">
        <v>3</v>
      </c>
      <c r="K65" s="4"/>
      <c r="L65" s="4"/>
      <c r="M65" s="4"/>
      <c r="N65" s="4"/>
      <c r="O65" s="4"/>
      <c r="P65" s="4">
        <v>3</v>
      </c>
      <c r="Q65" s="4"/>
      <c r="R65" s="4"/>
      <c r="S65" s="4">
        <v>3</v>
      </c>
      <c r="T65" s="4"/>
      <c r="U65" s="4">
        <v>3</v>
      </c>
      <c r="V65" s="4"/>
      <c r="W65" s="4">
        <v>3</v>
      </c>
      <c r="X65" s="4"/>
      <c r="Y65" s="4"/>
      <c r="Z65" s="4">
        <v>3</v>
      </c>
      <c r="AA65" s="4"/>
      <c r="AB65" s="4"/>
      <c r="AC65" s="4"/>
      <c r="AD65" s="4"/>
      <c r="AE65" s="4"/>
      <c r="AF65" s="4">
        <v>3</v>
      </c>
      <c r="AG65" s="4">
        <v>4</v>
      </c>
      <c r="AH65" s="4">
        <v>8</v>
      </c>
      <c r="AI65" s="4"/>
      <c r="AJ65" s="4"/>
      <c r="AK65" s="4"/>
      <c r="AL65" s="4"/>
      <c r="AM65" s="4"/>
      <c r="AO65" s="29" t="s">
        <v>102</v>
      </c>
      <c r="AP65" s="29">
        <v>3</v>
      </c>
      <c r="AR65" s="28"/>
      <c r="AS65" s="28"/>
    </row>
    <row r="66" s="1" customFormat="1" spans="1:45">
      <c r="A66" s="1" t="s">
        <v>178</v>
      </c>
      <c r="B66" s="1" t="s">
        <v>179</v>
      </c>
      <c r="C66" s="1">
        <v>12</v>
      </c>
      <c r="N66" s="1">
        <v>3</v>
      </c>
      <c r="O66" s="1">
        <v>6</v>
      </c>
      <c r="R66" s="1">
        <v>3</v>
      </c>
      <c r="W66" s="1">
        <v>3</v>
      </c>
      <c r="Z66" s="1">
        <v>3</v>
      </c>
      <c r="AE66" s="1">
        <v>3</v>
      </c>
      <c r="AG66" s="1">
        <v>4</v>
      </c>
      <c r="AH66" s="1">
        <v>8</v>
      </c>
      <c r="AO66" s="29" t="s">
        <v>102</v>
      </c>
      <c r="AP66" s="29">
        <v>3</v>
      </c>
      <c r="AR66" s="28" t="s">
        <v>102</v>
      </c>
      <c r="AS66" s="28">
        <v>1</v>
      </c>
    </row>
    <row r="67" s="1" customFormat="1" spans="1:45">
      <c r="A67" s="1" t="s">
        <v>180</v>
      </c>
      <c r="B67" s="1" t="s">
        <v>179</v>
      </c>
      <c r="C67" s="1">
        <v>12</v>
      </c>
      <c r="N67" s="1">
        <v>3</v>
      </c>
      <c r="O67" s="1">
        <v>6</v>
      </c>
      <c r="R67" s="1">
        <v>3</v>
      </c>
      <c r="W67" s="1">
        <v>3</v>
      </c>
      <c r="Z67" s="1">
        <v>3</v>
      </c>
      <c r="AE67" s="1">
        <v>3</v>
      </c>
      <c r="AG67" s="1">
        <v>4</v>
      </c>
      <c r="AH67" s="1">
        <v>8</v>
      </c>
      <c r="AI67" s="1"/>
      <c r="AJ67" s="1"/>
      <c r="AO67" s="29" t="s">
        <v>102</v>
      </c>
      <c r="AP67" s="29">
        <v>3</v>
      </c>
      <c r="AR67" s="28"/>
      <c r="AS67" s="28"/>
    </row>
    <row r="68" s="1" customFormat="1" spans="1:45">
      <c r="A68" s="1" t="s">
        <v>181</v>
      </c>
      <c r="B68" s="1" t="s">
        <v>179</v>
      </c>
      <c r="C68" s="1">
        <v>12</v>
      </c>
      <c r="N68" s="1">
        <v>3</v>
      </c>
      <c r="O68" s="1">
        <v>6</v>
      </c>
      <c r="R68" s="1">
        <v>3</v>
      </c>
      <c r="W68" s="1">
        <v>3</v>
      </c>
      <c r="Z68" s="1">
        <v>3</v>
      </c>
      <c r="AE68" s="1">
        <v>3</v>
      </c>
      <c r="AG68" s="1">
        <v>4</v>
      </c>
      <c r="AH68" s="1">
        <v>8</v>
      </c>
      <c r="AI68" s="1"/>
      <c r="AJ68" s="1"/>
      <c r="AO68" s="29" t="s">
        <v>102</v>
      </c>
      <c r="AP68" s="29">
        <v>3</v>
      </c>
      <c r="AR68" s="28"/>
      <c r="AS68" s="28"/>
    </row>
    <row r="69" s="1" customFormat="1" spans="1:45">
      <c r="A69" s="1" t="s">
        <v>182</v>
      </c>
      <c r="B69" s="1" t="s">
        <v>183</v>
      </c>
      <c r="C69" s="1">
        <v>8</v>
      </c>
      <c r="N69" s="1">
        <v>2</v>
      </c>
      <c r="O69" s="1">
        <v>4</v>
      </c>
      <c r="S69" s="1">
        <v>2</v>
      </c>
      <c r="W69" s="1">
        <v>2</v>
      </c>
      <c r="Z69" s="1">
        <v>2</v>
      </c>
      <c r="AE69" s="1">
        <v>2</v>
      </c>
      <c r="AG69" s="1">
        <v>4</v>
      </c>
      <c r="AH69" s="1">
        <v>4</v>
      </c>
      <c r="AI69" s="1"/>
      <c r="AJ69" s="1"/>
      <c r="AO69" s="41" t="s">
        <v>102</v>
      </c>
      <c r="AP69" s="41">
        <v>2</v>
      </c>
      <c r="AR69" s="28"/>
      <c r="AS69" s="28"/>
    </row>
    <row r="70" s="1" customFormat="1" spans="1:45">
      <c r="A70" s="1" t="s">
        <v>184</v>
      </c>
      <c r="B70" s="1" t="s">
        <v>183</v>
      </c>
      <c r="C70" s="1">
        <v>8</v>
      </c>
      <c r="N70" s="1">
        <v>2</v>
      </c>
      <c r="O70" s="1">
        <v>4</v>
      </c>
      <c r="S70" s="1">
        <v>2</v>
      </c>
      <c r="W70" s="1">
        <v>2</v>
      </c>
      <c r="Z70" s="1">
        <v>2</v>
      </c>
      <c r="AE70" s="1">
        <v>2</v>
      </c>
      <c r="AG70" s="1">
        <v>4</v>
      </c>
      <c r="AH70" s="1">
        <v>4</v>
      </c>
      <c r="AI70" s="1"/>
      <c r="AJ70" s="1"/>
      <c r="AO70" s="29" t="s">
        <v>102</v>
      </c>
      <c r="AP70" s="29">
        <v>2</v>
      </c>
      <c r="AR70" s="28" t="s">
        <v>102</v>
      </c>
      <c r="AS70" s="28">
        <v>1</v>
      </c>
    </row>
    <row r="71" s="1" customFormat="1" spans="1:45">
      <c r="A71" s="1" t="s">
        <v>185</v>
      </c>
      <c r="B71" s="1" t="s">
        <v>183</v>
      </c>
      <c r="C71" s="1">
        <v>8</v>
      </c>
      <c r="N71" s="1">
        <v>2</v>
      </c>
      <c r="O71" s="1">
        <v>4</v>
      </c>
      <c r="S71" s="1">
        <v>2</v>
      </c>
      <c r="W71" s="1">
        <v>2</v>
      </c>
      <c r="Z71" s="1">
        <v>2</v>
      </c>
      <c r="AE71" s="1">
        <v>2</v>
      </c>
      <c r="AG71" s="1">
        <v>4</v>
      </c>
      <c r="AH71" s="1">
        <v>4</v>
      </c>
      <c r="AI71" s="1"/>
      <c r="AJ71" s="1"/>
      <c r="AO71" s="29" t="s">
        <v>102</v>
      </c>
      <c r="AP71" s="29">
        <v>2</v>
      </c>
      <c r="AR71" s="28"/>
      <c r="AS71" s="28"/>
    </row>
    <row r="72" s="1" customFormat="1" spans="1:45">
      <c r="A72" s="1" t="s">
        <v>186</v>
      </c>
      <c r="B72" s="1" t="s">
        <v>183</v>
      </c>
      <c r="C72" s="1">
        <v>8</v>
      </c>
      <c r="N72" s="1">
        <v>2</v>
      </c>
      <c r="O72" s="1">
        <v>4</v>
      </c>
      <c r="S72" s="1">
        <v>2</v>
      </c>
      <c r="W72" s="1">
        <v>2</v>
      </c>
      <c r="Z72" s="1">
        <v>2</v>
      </c>
      <c r="AE72" s="1">
        <v>2</v>
      </c>
      <c r="AG72" s="1">
        <v>4</v>
      </c>
      <c r="AH72" s="1">
        <v>4</v>
      </c>
      <c r="AI72" s="1"/>
      <c r="AJ72" s="1"/>
      <c r="AO72" s="29" t="s">
        <v>102</v>
      </c>
      <c r="AP72" s="29">
        <v>2</v>
      </c>
      <c r="AR72" s="28"/>
      <c r="AS72" s="28"/>
    </row>
    <row r="73" s="1" customFormat="1" spans="1:45">
      <c r="A73" s="1" t="s">
        <v>187</v>
      </c>
      <c r="B73" s="1" t="s">
        <v>188</v>
      </c>
      <c r="C73" s="1">
        <v>8</v>
      </c>
      <c r="L73" s="1">
        <v>2</v>
      </c>
      <c r="O73" s="1">
        <v>2</v>
      </c>
      <c r="R73" s="1">
        <v>2</v>
      </c>
      <c r="T73" s="1">
        <v>2</v>
      </c>
      <c r="W73" s="1">
        <v>2</v>
      </c>
      <c r="Y73" s="1">
        <v>2</v>
      </c>
      <c r="AC73" s="1">
        <v>2</v>
      </c>
      <c r="AG73" s="1">
        <v>4</v>
      </c>
      <c r="AH73" s="1">
        <v>4</v>
      </c>
      <c r="AI73" s="1"/>
      <c r="AO73" s="29" t="s">
        <v>102</v>
      </c>
      <c r="AP73" s="29">
        <v>2</v>
      </c>
      <c r="AR73" s="28"/>
      <c r="AS73" s="28"/>
    </row>
    <row r="74" s="1" customFormat="1" spans="1:45">
      <c r="A74" s="1" t="s">
        <v>189</v>
      </c>
      <c r="B74" s="1" t="s">
        <v>190</v>
      </c>
      <c r="C74" s="1">
        <v>8</v>
      </c>
      <c r="L74" s="1">
        <v>2</v>
      </c>
      <c r="O74" s="1">
        <v>2</v>
      </c>
      <c r="R74" s="1">
        <v>2</v>
      </c>
      <c r="T74" s="1">
        <v>2</v>
      </c>
      <c r="W74" s="1">
        <v>2</v>
      </c>
      <c r="Y74" s="1">
        <v>2</v>
      </c>
      <c r="Z74" s="1"/>
      <c r="AC74" s="1">
        <v>2</v>
      </c>
      <c r="AG74" s="1">
        <v>4</v>
      </c>
      <c r="AH74" s="1">
        <v>4</v>
      </c>
      <c r="AO74" s="29" t="s">
        <v>102</v>
      </c>
      <c r="AP74" s="29">
        <v>2</v>
      </c>
      <c r="AR74" s="28"/>
      <c r="AS74" s="28"/>
    </row>
    <row r="75" s="1" customFormat="1" spans="1:45">
      <c r="A75" s="1" t="s">
        <v>191</v>
      </c>
      <c r="B75" s="1" t="s">
        <v>192</v>
      </c>
      <c r="C75" s="1">
        <v>8</v>
      </c>
      <c r="N75" s="1">
        <v>2</v>
      </c>
      <c r="O75" s="1">
        <v>4</v>
      </c>
      <c r="S75" s="1">
        <v>2</v>
      </c>
      <c r="W75" s="1">
        <v>2</v>
      </c>
      <c r="Z75" s="1">
        <v>2</v>
      </c>
      <c r="AE75" s="1">
        <v>2</v>
      </c>
      <c r="AF75" s="1"/>
      <c r="AG75" s="1">
        <v>4</v>
      </c>
      <c r="AH75" s="1">
        <v>4</v>
      </c>
      <c r="AO75" s="29" t="s">
        <v>102</v>
      </c>
      <c r="AP75" s="29">
        <v>2</v>
      </c>
      <c r="AR75" s="28"/>
      <c r="AS75" s="28"/>
    </row>
    <row r="76" s="1" customFormat="1" spans="1:45">
      <c r="A76" s="1" t="s">
        <v>193</v>
      </c>
      <c r="B76" s="1" t="s">
        <v>179</v>
      </c>
      <c r="C76" s="1">
        <v>12</v>
      </c>
      <c r="N76" s="1">
        <v>3</v>
      </c>
      <c r="O76" s="1">
        <v>6</v>
      </c>
      <c r="R76" s="1">
        <v>3</v>
      </c>
      <c r="S76" s="1"/>
      <c r="W76" s="1">
        <v>3</v>
      </c>
      <c r="Z76" s="1">
        <v>3</v>
      </c>
      <c r="AE76" s="1">
        <v>3</v>
      </c>
      <c r="AF76" s="1"/>
      <c r="AG76" s="1">
        <v>4</v>
      </c>
      <c r="AH76" s="1">
        <v>8</v>
      </c>
      <c r="AO76" s="29" t="s">
        <v>102</v>
      </c>
      <c r="AP76" s="29">
        <v>3</v>
      </c>
      <c r="AR76" s="28" t="s">
        <v>102</v>
      </c>
      <c r="AS76" s="28">
        <v>1</v>
      </c>
    </row>
    <row r="77" s="1" customFormat="1" spans="1:45">
      <c r="A77" s="1" t="s">
        <v>194</v>
      </c>
      <c r="B77" s="1" t="s">
        <v>192</v>
      </c>
      <c r="C77" s="1">
        <v>8</v>
      </c>
      <c r="N77" s="1">
        <v>2</v>
      </c>
      <c r="O77" s="1">
        <v>4</v>
      </c>
      <c r="P77" s="1"/>
      <c r="S77" s="1">
        <v>2</v>
      </c>
      <c r="W77" s="1">
        <v>2</v>
      </c>
      <c r="Z77" s="1">
        <v>2</v>
      </c>
      <c r="AE77" s="1">
        <v>2</v>
      </c>
      <c r="AG77" s="1">
        <v>4</v>
      </c>
      <c r="AH77" s="1">
        <v>4</v>
      </c>
      <c r="AO77" s="29" t="s">
        <v>102</v>
      </c>
      <c r="AP77" s="29">
        <v>2</v>
      </c>
      <c r="AR77" s="28"/>
      <c r="AS77" s="28"/>
    </row>
    <row r="78" s="1" customFormat="1" spans="1:45">
      <c r="A78" s="1" t="s">
        <v>195</v>
      </c>
      <c r="B78" s="1" t="s">
        <v>179</v>
      </c>
      <c r="C78" s="1">
        <v>12</v>
      </c>
      <c r="N78" s="1">
        <v>3</v>
      </c>
      <c r="O78" s="1">
        <v>6</v>
      </c>
      <c r="P78" s="1"/>
      <c r="R78" s="1">
        <v>3</v>
      </c>
      <c r="W78" s="1">
        <v>3</v>
      </c>
      <c r="Z78" s="1">
        <v>3</v>
      </c>
      <c r="AE78" s="1">
        <v>3</v>
      </c>
      <c r="AG78" s="1">
        <v>4</v>
      </c>
      <c r="AH78" s="1">
        <v>8</v>
      </c>
      <c r="AO78" s="29" t="s">
        <v>102</v>
      </c>
      <c r="AP78" s="29">
        <v>3</v>
      </c>
      <c r="AR78" s="28"/>
      <c r="AS78" s="28"/>
    </row>
    <row r="79" s="1" customFormat="1" spans="1:45">
      <c r="A79" s="1" t="s">
        <v>196</v>
      </c>
      <c r="B79" s="1" t="s">
        <v>179</v>
      </c>
      <c r="C79" s="1">
        <v>12</v>
      </c>
      <c r="N79" s="1">
        <v>3</v>
      </c>
      <c r="O79" s="1">
        <v>6</v>
      </c>
      <c r="R79" s="1">
        <v>3</v>
      </c>
      <c r="S79" s="1"/>
      <c r="T79" s="1"/>
      <c r="W79" s="1">
        <v>3</v>
      </c>
      <c r="Z79" s="1">
        <v>3</v>
      </c>
      <c r="AE79" s="1">
        <v>3</v>
      </c>
      <c r="AF79" s="1"/>
      <c r="AG79" s="1">
        <v>4</v>
      </c>
      <c r="AH79" s="1">
        <v>8</v>
      </c>
      <c r="AO79" s="29" t="s">
        <v>102</v>
      </c>
      <c r="AP79" s="29">
        <v>3</v>
      </c>
      <c r="AR79" s="28"/>
      <c r="AS79" s="28"/>
    </row>
    <row r="80" s="1" customFormat="1" spans="1:45">
      <c r="A80" s="1" t="s">
        <v>197</v>
      </c>
      <c r="B80" s="1" t="s">
        <v>179</v>
      </c>
      <c r="C80" s="1">
        <v>12</v>
      </c>
      <c r="N80" s="1">
        <v>3</v>
      </c>
      <c r="O80" s="1">
        <v>6</v>
      </c>
      <c r="R80" s="1">
        <v>3</v>
      </c>
      <c r="S80" s="1"/>
      <c r="T80" s="1"/>
      <c r="W80" s="1">
        <v>3</v>
      </c>
      <c r="Z80" s="1">
        <v>3</v>
      </c>
      <c r="AE80" s="1">
        <v>3</v>
      </c>
      <c r="AF80" s="1"/>
      <c r="AG80" s="1">
        <v>4</v>
      </c>
      <c r="AH80" s="1">
        <v>8</v>
      </c>
      <c r="AO80" s="29" t="s">
        <v>102</v>
      </c>
      <c r="AP80" s="29">
        <v>3</v>
      </c>
      <c r="AR80" s="28" t="s">
        <v>102</v>
      </c>
      <c r="AS80" s="28">
        <v>1</v>
      </c>
    </row>
    <row r="81" s="1" customFormat="1" spans="1:45">
      <c r="A81" s="1" t="s">
        <v>198</v>
      </c>
      <c r="B81" s="1" t="s">
        <v>199</v>
      </c>
      <c r="C81" s="1">
        <v>6</v>
      </c>
      <c r="G81" s="1">
        <v>6</v>
      </c>
      <c r="AG81" s="1">
        <v>1</v>
      </c>
      <c r="AH81" s="1">
        <v>2</v>
      </c>
      <c r="AI81" s="1">
        <v>2</v>
      </c>
      <c r="AJ81" s="1">
        <v>1</v>
      </c>
      <c r="AO81" s="29" t="s">
        <v>102</v>
      </c>
      <c r="AP81" s="29">
        <v>1</v>
      </c>
      <c r="AR81" s="28"/>
      <c r="AS81" s="28"/>
    </row>
    <row r="82" s="1" customFormat="1" spans="1:45">
      <c r="A82" s="1" t="s">
        <v>200</v>
      </c>
      <c r="B82" s="1" t="s">
        <v>149</v>
      </c>
      <c r="C82" s="1">
        <v>10</v>
      </c>
      <c r="P82" s="1">
        <v>3</v>
      </c>
      <c r="Q82" s="1">
        <v>2</v>
      </c>
      <c r="U82" s="1">
        <v>5</v>
      </c>
      <c r="W82" s="1">
        <v>5</v>
      </c>
      <c r="AG82" s="1">
        <v>2</v>
      </c>
      <c r="AH82" s="1">
        <v>4</v>
      </c>
      <c r="AI82" s="1">
        <v>4</v>
      </c>
      <c r="AJ82" s="1"/>
      <c r="AK82" s="1"/>
      <c r="AL82" s="1"/>
      <c r="AO82" s="29" t="s">
        <v>102</v>
      </c>
      <c r="AP82" s="29">
        <v>2</v>
      </c>
      <c r="AR82" s="28"/>
      <c r="AS82" s="28"/>
    </row>
    <row r="83" customFormat="1" spans="1:45">
      <c r="A83" s="1" t="s">
        <v>201</v>
      </c>
      <c r="B83" s="1" t="s">
        <v>202</v>
      </c>
      <c r="C83" s="1">
        <v>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>
        <v>4</v>
      </c>
      <c r="R83" s="1"/>
      <c r="S83" s="1"/>
      <c r="T83" s="1"/>
      <c r="U83" s="1">
        <v>4</v>
      </c>
      <c r="V83" s="1"/>
      <c r="W83" s="1">
        <v>4</v>
      </c>
      <c r="X83" s="1"/>
      <c r="Y83" s="1"/>
      <c r="Z83" s="1"/>
      <c r="AA83" s="1"/>
      <c r="AB83" s="1"/>
      <c r="AC83" s="1"/>
      <c r="AD83" s="1"/>
      <c r="AE83" s="1"/>
      <c r="AF83" s="1"/>
      <c r="AG83" s="1">
        <v>2</v>
      </c>
      <c r="AH83" s="1">
        <v>4</v>
      </c>
      <c r="AI83" s="1">
        <v>2</v>
      </c>
      <c r="AJ83" s="1"/>
      <c r="AK83" s="1"/>
      <c r="AL83" s="1"/>
      <c r="AM83" s="1"/>
      <c r="AO83" s="29" t="s">
        <v>102</v>
      </c>
      <c r="AP83" s="29">
        <v>1</v>
      </c>
      <c r="AQ83" s="47"/>
      <c r="AR83" s="28"/>
      <c r="AS83" s="28"/>
    </row>
    <row r="84" customFormat="1" spans="1:45">
      <c r="A84" s="1" t="s">
        <v>203</v>
      </c>
      <c r="B84" s="1" t="s">
        <v>204</v>
      </c>
      <c r="C84" s="1">
        <v>10</v>
      </c>
      <c r="D84" s="1"/>
      <c r="E84" s="1"/>
      <c r="F84" s="1"/>
      <c r="G84" s="1"/>
      <c r="H84" s="1"/>
      <c r="I84" s="1"/>
      <c r="J84" s="1">
        <v>5</v>
      </c>
      <c r="K84" s="1"/>
      <c r="L84" s="1"/>
      <c r="M84" s="1"/>
      <c r="N84" s="1"/>
      <c r="O84" s="1"/>
      <c r="P84" s="1"/>
      <c r="Q84" s="1"/>
      <c r="R84" s="1"/>
      <c r="S84" s="1">
        <v>5</v>
      </c>
      <c r="T84" s="1"/>
      <c r="U84" s="1"/>
      <c r="V84" s="1"/>
      <c r="W84" s="1">
        <v>5</v>
      </c>
      <c r="X84" s="1"/>
      <c r="Y84" s="1"/>
      <c r="Z84" s="1"/>
      <c r="AA84" s="1"/>
      <c r="AB84" s="1"/>
      <c r="AC84" s="1"/>
      <c r="AD84" s="1"/>
      <c r="AE84" s="1"/>
      <c r="AF84" s="1"/>
      <c r="AG84" s="1">
        <v>2</v>
      </c>
      <c r="AH84" s="1">
        <v>4</v>
      </c>
      <c r="AI84" s="1">
        <v>4</v>
      </c>
      <c r="AJ84" s="1"/>
      <c r="AK84" s="1"/>
      <c r="AL84" s="1"/>
      <c r="AM84" s="1"/>
      <c r="AO84" s="29" t="s">
        <v>102</v>
      </c>
      <c r="AP84" s="29">
        <v>2</v>
      </c>
      <c r="AQ84" s="47"/>
      <c r="AR84" s="28" t="s">
        <v>102</v>
      </c>
      <c r="AS84" s="28">
        <v>1</v>
      </c>
    </row>
    <row r="85" customFormat="1" spans="1:45">
      <c r="A85" s="1" t="s">
        <v>205</v>
      </c>
      <c r="B85" s="1" t="s">
        <v>204</v>
      </c>
      <c r="C85" s="1">
        <v>10</v>
      </c>
      <c r="D85" s="1"/>
      <c r="E85" s="1"/>
      <c r="F85" s="1"/>
      <c r="G85" s="1"/>
      <c r="H85" s="1"/>
      <c r="I85" s="1"/>
      <c r="J85" s="1">
        <v>5</v>
      </c>
      <c r="K85" s="1"/>
      <c r="L85" s="1"/>
      <c r="M85" s="1"/>
      <c r="N85" s="1"/>
      <c r="O85" s="1"/>
      <c r="P85" s="1"/>
      <c r="Q85" s="1"/>
      <c r="R85" s="1"/>
      <c r="S85" s="1">
        <v>5</v>
      </c>
      <c r="T85" s="1"/>
      <c r="U85" s="1"/>
      <c r="V85" s="1"/>
      <c r="W85" s="1">
        <v>5</v>
      </c>
      <c r="X85" s="1"/>
      <c r="Y85" s="1"/>
      <c r="Z85" s="1"/>
      <c r="AA85" s="1"/>
      <c r="AB85" s="1"/>
      <c r="AC85" s="1"/>
      <c r="AD85" s="1"/>
      <c r="AE85" s="1"/>
      <c r="AF85" s="1"/>
      <c r="AG85" s="1">
        <v>2</v>
      </c>
      <c r="AH85" s="1">
        <v>4</v>
      </c>
      <c r="AI85" s="1">
        <v>4</v>
      </c>
      <c r="AJ85" s="1"/>
      <c r="AK85" s="1"/>
      <c r="AL85" s="1"/>
      <c r="AM85" s="1"/>
      <c r="AO85" s="29" t="s">
        <v>102</v>
      </c>
      <c r="AP85" s="29">
        <v>2</v>
      </c>
      <c r="AQ85" s="47"/>
      <c r="AR85" s="28"/>
      <c r="AS85" s="28"/>
    </row>
    <row r="86" customFormat="1" spans="1:45">
      <c r="A86" s="1" t="s">
        <v>206</v>
      </c>
      <c r="B86" s="1" t="s">
        <v>204</v>
      </c>
      <c r="C86" s="1">
        <v>10</v>
      </c>
      <c r="D86" s="1"/>
      <c r="E86" s="1"/>
      <c r="F86" s="1"/>
      <c r="G86" s="1"/>
      <c r="H86" s="1"/>
      <c r="I86" s="1"/>
      <c r="J86" s="1">
        <v>5</v>
      </c>
      <c r="K86" s="1"/>
      <c r="L86" s="1"/>
      <c r="M86" s="1"/>
      <c r="N86" s="1"/>
      <c r="O86" s="1"/>
      <c r="P86" s="1"/>
      <c r="Q86" s="1"/>
      <c r="R86" s="1"/>
      <c r="S86" s="1">
        <v>5</v>
      </c>
      <c r="T86" s="1"/>
      <c r="U86" s="1"/>
      <c r="V86" s="1"/>
      <c r="W86" s="1">
        <v>5</v>
      </c>
      <c r="X86" s="1"/>
      <c r="Y86" s="1"/>
      <c r="Z86" s="1"/>
      <c r="AA86" s="1"/>
      <c r="AB86" s="1"/>
      <c r="AC86" s="1"/>
      <c r="AD86" s="1"/>
      <c r="AE86" s="1"/>
      <c r="AF86" s="1"/>
      <c r="AG86" s="1">
        <v>2</v>
      </c>
      <c r="AH86" s="1">
        <v>4</v>
      </c>
      <c r="AI86" s="1">
        <v>4</v>
      </c>
      <c r="AJ86" s="1"/>
      <c r="AK86" s="1"/>
      <c r="AL86" s="1"/>
      <c r="AM86" s="1"/>
      <c r="AO86" s="29" t="s">
        <v>102</v>
      </c>
      <c r="AP86" s="29">
        <v>2</v>
      </c>
      <c r="AQ86" s="47"/>
      <c r="AR86" s="28"/>
      <c r="AS86" s="28"/>
    </row>
    <row r="87" customFormat="1" spans="1:45">
      <c r="A87" s="1" t="s">
        <v>207</v>
      </c>
      <c r="B87" s="1" t="s">
        <v>204</v>
      </c>
      <c r="C87" s="1">
        <v>10</v>
      </c>
      <c r="D87" s="1"/>
      <c r="E87" s="1"/>
      <c r="F87" s="1"/>
      <c r="G87" s="1"/>
      <c r="H87" s="1"/>
      <c r="I87" s="1"/>
      <c r="J87" s="1">
        <v>5</v>
      </c>
      <c r="K87" s="1"/>
      <c r="L87" s="1"/>
      <c r="M87" s="1"/>
      <c r="N87" s="1"/>
      <c r="O87" s="1"/>
      <c r="P87" s="1"/>
      <c r="Q87" s="1"/>
      <c r="R87" s="1"/>
      <c r="S87" s="1">
        <v>5</v>
      </c>
      <c r="T87" s="1"/>
      <c r="U87" s="1"/>
      <c r="V87" s="1"/>
      <c r="W87" s="1">
        <v>5</v>
      </c>
      <c r="X87" s="1"/>
      <c r="Y87" s="1"/>
      <c r="Z87" s="1"/>
      <c r="AA87" s="1"/>
      <c r="AB87" s="1"/>
      <c r="AC87" s="1"/>
      <c r="AD87" s="1"/>
      <c r="AE87" s="1"/>
      <c r="AF87" s="1"/>
      <c r="AG87" s="1">
        <v>2</v>
      </c>
      <c r="AH87" s="1">
        <v>4</v>
      </c>
      <c r="AI87" s="1">
        <v>4</v>
      </c>
      <c r="AJ87" s="1"/>
      <c r="AK87" s="1"/>
      <c r="AL87" s="1"/>
      <c r="AM87" s="1"/>
      <c r="AO87" s="29" t="s">
        <v>102</v>
      </c>
      <c r="AP87" s="29">
        <v>2</v>
      </c>
      <c r="AQ87" s="47"/>
      <c r="AR87" s="28"/>
      <c r="AS87" s="28"/>
    </row>
    <row r="88" spans="1:45">
      <c r="D88" s="2">
        <f>SUM(D6:D87)</f>
        <v>34</v>
      </c>
      <c r="E88" s="2">
        <f t="shared" ref="E88:AM88" si="0">SUM(E6:E87)</f>
        <v>10</v>
      </c>
      <c r="F88" s="2">
        <f t="shared" si="0"/>
        <v>0</v>
      </c>
      <c r="G88" s="2">
        <f t="shared" si="0"/>
        <v>18</v>
      </c>
      <c r="H88" s="2">
        <f t="shared" si="0"/>
        <v>0</v>
      </c>
      <c r="I88" s="2">
        <f t="shared" si="0"/>
        <v>0</v>
      </c>
      <c r="J88" s="2">
        <f t="shared" si="0"/>
        <v>382</v>
      </c>
      <c r="K88" s="2">
        <f t="shared" si="0"/>
        <v>89</v>
      </c>
      <c r="L88" s="2">
        <f t="shared" si="0"/>
        <v>4</v>
      </c>
      <c r="M88" s="2">
        <f t="shared" si="0"/>
        <v>0</v>
      </c>
      <c r="N88" s="2">
        <f t="shared" si="0"/>
        <v>33</v>
      </c>
      <c r="O88" s="2">
        <f t="shared" si="0"/>
        <v>70</v>
      </c>
      <c r="P88" s="2">
        <f t="shared" si="0"/>
        <v>27</v>
      </c>
      <c r="Q88" s="2">
        <f t="shared" si="0"/>
        <v>12</v>
      </c>
      <c r="R88" s="2">
        <f t="shared" si="0"/>
        <v>25</v>
      </c>
      <c r="S88" s="2">
        <f t="shared" si="0"/>
        <v>73</v>
      </c>
      <c r="T88" s="2">
        <f t="shared" si="0"/>
        <v>4</v>
      </c>
      <c r="U88" s="2">
        <f t="shared" si="0"/>
        <v>39</v>
      </c>
      <c r="V88" s="2">
        <f t="shared" si="0"/>
        <v>0</v>
      </c>
      <c r="W88" s="2">
        <f t="shared" si="0"/>
        <v>230</v>
      </c>
      <c r="X88" s="2">
        <f t="shared" si="0"/>
        <v>0</v>
      </c>
      <c r="Y88" s="2">
        <f t="shared" si="0"/>
        <v>16</v>
      </c>
      <c r="Z88" s="2">
        <f t="shared" si="0"/>
        <v>178</v>
      </c>
      <c r="AA88" s="2">
        <f t="shared" si="0"/>
        <v>0</v>
      </c>
      <c r="AB88" s="2">
        <f t="shared" si="0"/>
        <v>0</v>
      </c>
      <c r="AC88" s="2">
        <f t="shared" si="0"/>
        <v>12</v>
      </c>
      <c r="AD88" s="2">
        <f t="shared" si="0"/>
        <v>0</v>
      </c>
      <c r="AE88" s="2">
        <f t="shared" si="0"/>
        <v>108</v>
      </c>
      <c r="AF88" s="2">
        <f t="shared" si="0"/>
        <v>29</v>
      </c>
      <c r="AG88" s="2">
        <f t="shared" si="0"/>
        <v>289</v>
      </c>
      <c r="AH88" s="2">
        <f t="shared" si="0"/>
        <v>473</v>
      </c>
      <c r="AI88" s="2">
        <f t="shared" si="0"/>
        <v>55</v>
      </c>
      <c r="AJ88" s="2">
        <f t="shared" si="0"/>
        <v>3</v>
      </c>
      <c r="AK88" s="2">
        <f t="shared" si="0"/>
        <v>0</v>
      </c>
      <c r="AL88" s="2">
        <f t="shared" si="0"/>
        <v>0</v>
      </c>
      <c r="AM88" s="2">
        <f t="shared" si="0"/>
        <v>0</v>
      </c>
      <c r="AP88" s="2">
        <f>SUM(AP6:AP87)</f>
        <v>211</v>
      </c>
      <c r="AQ88" s="2">
        <f>SUM(AQ6:AQ87)</f>
        <v>16502</v>
      </c>
      <c r="AS88" s="2">
        <f>SUM(AS6:AS87)</f>
        <v>19</v>
      </c>
    </row>
    <row r="90" spans="1:45">
      <c r="A90" s="31" t="s">
        <v>208</v>
      </c>
      <c r="B90" s="32"/>
      <c r="C90" s="32"/>
      <c r="D90" s="17"/>
      <c r="E90" s="17"/>
    </row>
    <row r="91" spans="1:45">
      <c r="A91" s="31" t="s">
        <v>209</v>
      </c>
      <c r="B91" s="31">
        <f>AP88+AS88</f>
        <v>230</v>
      </c>
      <c r="C91" s="31"/>
      <c r="D91" s="17"/>
      <c r="E91" s="17"/>
    </row>
    <row r="92" spans="1:45">
      <c r="A92" s="31" t="s">
        <v>210</v>
      </c>
      <c r="B92" s="31" t="s">
        <v>102</v>
      </c>
      <c r="C92" s="31"/>
      <c r="D92" s="17">
        <v>226</v>
      </c>
      <c r="E92" s="13"/>
    </row>
    <row r="93" spans="1:45">
      <c r="A93" s="31"/>
      <c r="B93" s="31" t="s">
        <v>103</v>
      </c>
      <c r="C93" s="31"/>
      <c r="D93" s="17">
        <v>4</v>
      </c>
      <c r="E93" s="13"/>
    </row>
    <row r="94" spans="1:45">
      <c r="A94" s="31" t="s">
        <v>211</v>
      </c>
      <c r="B94" s="31">
        <f>113+1</f>
        <v>114</v>
      </c>
      <c r="C94" s="17"/>
      <c r="D94" s="17"/>
      <c r="E94" s="17"/>
    </row>
    <row r="95" spans="1:45">
      <c r="A95" s="31" t="s">
        <v>212</v>
      </c>
      <c r="B95" s="31" t="s">
        <v>213</v>
      </c>
      <c r="C95" s="31"/>
      <c r="D95" s="17">
        <v>113</v>
      </c>
      <c r="E95" s="33">
        <f>1.05*1.05*1.15*D95</f>
        <v>143.269875</v>
      </c>
    </row>
    <row r="96" spans="1:45">
      <c r="A96" s="31"/>
      <c r="B96" s="31" t="s">
        <v>214</v>
      </c>
      <c r="C96" s="31"/>
      <c r="D96" s="17">
        <v>0</v>
      </c>
      <c r="E96" s="33">
        <f>1.05*1.05*0.65*D96</f>
        <v>0</v>
      </c>
    </row>
    <row r="97" spans="1:5">
      <c r="A97" s="31"/>
      <c r="B97" s="31" t="s">
        <v>215</v>
      </c>
      <c r="C97" s="31"/>
      <c r="D97" s="17">
        <v>1</v>
      </c>
      <c r="E97" s="33">
        <f>1.5*0.75*1.15*D97</f>
        <v>1.29375</v>
      </c>
    </row>
    <row r="98" spans="1:5">
      <c r="A98" s="31"/>
      <c r="B98" s="31" t="s">
        <v>216</v>
      </c>
      <c r="C98" s="31"/>
      <c r="D98" s="17">
        <v>0</v>
      </c>
      <c r="E98" s="33">
        <f>1.5*0.75*0.65*D98</f>
        <v>0</v>
      </c>
    </row>
    <row r="99" spans="1:5">
      <c r="A99" s="31" t="s">
        <v>217</v>
      </c>
      <c r="B99" s="34">
        <f>SUBTOTAL(9,E95:E98)</f>
        <v>144.563625</v>
      </c>
      <c r="C99" s="17"/>
      <c r="D99" s="17"/>
      <c r="E99" s="35"/>
    </row>
    <row r="100" spans="1:5">
      <c r="A100" s="31" t="s">
        <v>218</v>
      </c>
      <c r="B100" s="36">
        <f>Batch_01_GW!AC41</f>
        <v>46893.89</v>
      </c>
      <c r="C100" s="17"/>
      <c r="D100" s="17"/>
      <c r="E100" s="17"/>
    </row>
    <row r="105" spans="1:5">
      <c r="B105" s="46"/>
    </row>
  </sheetData>
  <autoFilter xmlns:etc="http://www.wps.cn/officeDocument/2017/etCustomData" ref="AO1:AS100" etc:filterBottomFollowUsedRange="0">
    <extLst/>
  </autoFilter>
  <mergeCells count="53">
    <mergeCell ref="B92:C92"/>
    <mergeCell ref="B93:C93"/>
    <mergeCell ref="B95:C95"/>
    <mergeCell ref="B96:C96"/>
    <mergeCell ref="B97:C97"/>
    <mergeCell ref="B98:C98"/>
    <mergeCell ref="A1:A3"/>
    <mergeCell ref="B1:B3"/>
    <mergeCell ref="C1:C3"/>
    <mergeCell ref="AN1:AN3"/>
    <mergeCell ref="AO1:AO3"/>
    <mergeCell ref="AP1:AP3"/>
    <mergeCell ref="AQ1:AQ3"/>
    <mergeCell ref="AR1:AR3"/>
    <mergeCell ref="AR6:AR7"/>
    <mergeCell ref="AR8:AR12"/>
    <mergeCell ref="AR13:AR19"/>
    <mergeCell ref="AR20:AR23"/>
    <mergeCell ref="AR24:AR25"/>
    <mergeCell ref="AR26:AR29"/>
    <mergeCell ref="AR30:AR34"/>
    <mergeCell ref="AR35:AR39"/>
    <mergeCell ref="AR40:AR44"/>
    <mergeCell ref="AR45:AR48"/>
    <mergeCell ref="AR49:AR52"/>
    <mergeCell ref="AR53:AR56"/>
    <mergeCell ref="AR57:AR60"/>
    <mergeCell ref="AR61:AR65"/>
    <mergeCell ref="AR66:AR69"/>
    <mergeCell ref="AR70:AR75"/>
    <mergeCell ref="AR76:AR79"/>
    <mergeCell ref="AR80:AR83"/>
    <mergeCell ref="AR84:AR87"/>
    <mergeCell ref="AS1:AS3"/>
    <mergeCell ref="AS6:AS7"/>
    <mergeCell ref="AS8:AS12"/>
    <mergeCell ref="AS13:AS19"/>
    <mergeCell ref="AS20:AS23"/>
    <mergeCell ref="AS24:AS25"/>
    <mergeCell ref="AS26:AS29"/>
    <mergeCell ref="AS30:AS34"/>
    <mergeCell ref="AS35:AS39"/>
    <mergeCell ref="AS40:AS44"/>
    <mergeCell ref="AS45:AS48"/>
    <mergeCell ref="AS49:AS52"/>
    <mergeCell ref="AS53:AS56"/>
    <mergeCell ref="AS57:AS60"/>
    <mergeCell ref="AS61:AS65"/>
    <mergeCell ref="AS66:AS69"/>
    <mergeCell ref="AS70:AS75"/>
    <mergeCell ref="AS76:AS79"/>
    <mergeCell ref="AS80:AS83"/>
    <mergeCell ref="AS84:AS87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AU88"/>
  <sheetViews>
    <sheetView view="pageBreakPreview" zoomScale="85" zoomScaleNormal="80" workbookViewId="0">
      <pane xSplit="3" ySplit="3" topLeftCell="R4" activePane="bottomRight" state="frozen"/>
      <selection/>
      <selection pane="topRight"/>
      <selection pane="bottomLeft"/>
      <selection pane="bottomRight" activeCell="AF4" sqref="AF4"/>
    </sheetView>
  </sheetViews>
  <sheetFormatPr defaultColWidth="9" defaultRowHeight="15"/>
  <cols>
    <col min="1" max="1" width="13.6666666666667" style="2" customWidth="1"/>
    <col min="2" max="2" width="13.4" style="2" customWidth="1"/>
    <col min="3" max="3" width="8.66666666666667" style="2" customWidth="1"/>
    <col min="4" max="39" width="7.93333333333333" style="2" customWidth="1"/>
    <col min="40" max="40" width="9" style="2" customWidth="1"/>
    <col min="41" max="41" width="13.9833333333333" style="2" customWidth="1"/>
    <col min="42" max="43" width="9" style="2" hidden="1" customWidth="1"/>
    <col min="44" max="45" width="9" style="2" customWidth="1"/>
    <col min="46" max="46" width="14.2416666666667" style="2" customWidth="1"/>
    <col min="47" max="47" width="9" style="2" customWidth="1"/>
    <col min="48" max="16384" width="9" style="2"/>
  </cols>
  <sheetData>
    <row r="1" spans="1:47">
      <c r="A1" s="11" t="s">
        <v>0</v>
      </c>
      <c r="B1" s="12" t="s">
        <v>1</v>
      </c>
      <c r="C1" s="13" t="s">
        <v>2</v>
      </c>
      <c r="D1" s="14" t="s">
        <v>3</v>
      </c>
      <c r="E1" s="14" t="s">
        <v>3</v>
      </c>
      <c r="F1" s="14" t="s">
        <v>3</v>
      </c>
      <c r="G1" s="14" t="s">
        <v>3</v>
      </c>
      <c r="H1" s="14" t="s">
        <v>3</v>
      </c>
      <c r="I1" s="14" t="s">
        <v>3</v>
      </c>
      <c r="J1" s="14" t="s">
        <v>3</v>
      </c>
      <c r="K1" s="14" t="s">
        <v>3</v>
      </c>
      <c r="L1" s="14" t="s">
        <v>3</v>
      </c>
      <c r="M1" s="14" t="s">
        <v>3</v>
      </c>
      <c r="N1" s="14" t="s">
        <v>3</v>
      </c>
      <c r="O1" s="14" t="s">
        <v>3</v>
      </c>
      <c r="P1" s="14" t="s">
        <v>3</v>
      </c>
      <c r="Q1" s="14" t="s">
        <v>3</v>
      </c>
      <c r="R1" s="14" t="s">
        <v>3</v>
      </c>
      <c r="S1" s="14" t="s">
        <v>3</v>
      </c>
      <c r="T1" s="14" t="s">
        <v>3</v>
      </c>
      <c r="U1" s="14" t="s">
        <v>3</v>
      </c>
      <c r="V1" s="15" t="s">
        <v>4</v>
      </c>
      <c r="W1" s="15" t="s">
        <v>4</v>
      </c>
      <c r="X1" s="15" t="s">
        <v>4</v>
      </c>
      <c r="Y1" s="15" t="s">
        <v>4</v>
      </c>
      <c r="Z1" s="15" t="s">
        <v>4</v>
      </c>
      <c r="AA1" s="15" t="s">
        <v>4</v>
      </c>
      <c r="AB1" s="15" t="s">
        <v>4</v>
      </c>
      <c r="AC1" s="15" t="s">
        <v>4</v>
      </c>
      <c r="AD1" s="15" t="s">
        <v>4</v>
      </c>
      <c r="AE1" s="15" t="s">
        <v>4</v>
      </c>
      <c r="AF1" s="15" t="s">
        <v>4</v>
      </c>
      <c r="AG1" s="16" t="s">
        <v>4</v>
      </c>
      <c r="AH1" s="16" t="s">
        <v>4</v>
      </c>
      <c r="AI1" s="16" t="s">
        <v>4</v>
      </c>
      <c r="AJ1" s="16" t="s">
        <v>4</v>
      </c>
      <c r="AK1" s="16" t="s">
        <v>4</v>
      </c>
      <c r="AL1" s="16" t="s">
        <v>4</v>
      </c>
      <c r="AM1" s="16" t="s">
        <v>4</v>
      </c>
      <c r="AN1" s="37" t="s">
        <v>5</v>
      </c>
      <c r="AO1" s="17" t="s">
        <v>6</v>
      </c>
      <c r="AP1" s="17" t="s">
        <v>219</v>
      </c>
      <c r="AQ1" s="17" t="s">
        <v>220</v>
      </c>
      <c r="AR1" s="17" t="s">
        <v>7</v>
      </c>
      <c r="AS1" s="38" t="s">
        <v>8</v>
      </c>
      <c r="AT1" s="19" t="s">
        <v>6</v>
      </c>
      <c r="AU1" s="19" t="s">
        <v>9</v>
      </c>
    </row>
    <row r="2" ht="16.5" customHeight="1" spans="1:47">
      <c r="A2" s="11"/>
      <c r="B2" s="12"/>
      <c r="C2" s="13"/>
      <c r="D2" s="13" t="s">
        <v>10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15</v>
      </c>
      <c r="J2" s="13" t="s">
        <v>16</v>
      </c>
      <c r="K2" s="13" t="s">
        <v>17</v>
      </c>
      <c r="L2" s="13" t="s">
        <v>18</v>
      </c>
      <c r="M2" s="13" t="s">
        <v>19</v>
      </c>
      <c r="N2" s="13" t="s">
        <v>20</v>
      </c>
      <c r="O2" s="13" t="s">
        <v>21</v>
      </c>
      <c r="P2" s="13" t="s">
        <v>22</v>
      </c>
      <c r="Q2" s="13" t="s">
        <v>23</v>
      </c>
      <c r="R2" s="13" t="s">
        <v>24</v>
      </c>
      <c r="S2" s="13" t="s">
        <v>25</v>
      </c>
      <c r="T2" s="13" t="s">
        <v>26</v>
      </c>
      <c r="U2" s="13" t="s">
        <v>27</v>
      </c>
      <c r="V2" s="13" t="s">
        <v>28</v>
      </c>
      <c r="W2" s="13" t="s">
        <v>29</v>
      </c>
      <c r="X2" s="13" t="s">
        <v>30</v>
      </c>
      <c r="Y2" s="13" t="s">
        <v>31</v>
      </c>
      <c r="Z2" s="13" t="s">
        <v>32</v>
      </c>
      <c r="AA2" s="13" t="s">
        <v>33</v>
      </c>
      <c r="AB2" s="13" t="s">
        <v>34</v>
      </c>
      <c r="AC2" s="13" t="s">
        <v>35</v>
      </c>
      <c r="AD2" s="13" t="s">
        <v>36</v>
      </c>
      <c r="AE2" s="13" t="s">
        <v>37</v>
      </c>
      <c r="AF2" s="13" t="s">
        <v>38</v>
      </c>
      <c r="AG2" s="13" t="s">
        <v>39</v>
      </c>
      <c r="AH2" s="13" t="s">
        <v>40</v>
      </c>
      <c r="AI2" s="13" t="s">
        <v>41</v>
      </c>
      <c r="AJ2" s="13" t="s">
        <v>42</v>
      </c>
      <c r="AK2" s="13" t="s">
        <v>43</v>
      </c>
      <c r="AL2" s="13" t="s">
        <v>44</v>
      </c>
      <c r="AM2" s="13" t="s">
        <v>45</v>
      </c>
      <c r="AN2" s="37"/>
      <c r="AO2" s="17"/>
      <c r="AP2" s="17"/>
      <c r="AQ2" s="17"/>
      <c r="AR2" s="17"/>
      <c r="AS2" s="39"/>
      <c r="AT2" s="20"/>
      <c r="AU2" s="20"/>
    </row>
    <row r="3" spans="1:47">
      <c r="A3" s="11"/>
      <c r="B3" s="12"/>
      <c r="C3" s="21"/>
      <c r="D3" s="22">
        <v>571</v>
      </c>
      <c r="E3" s="22">
        <v>571</v>
      </c>
      <c r="F3" s="22">
        <v>571</v>
      </c>
      <c r="G3" s="22">
        <v>571</v>
      </c>
      <c r="H3" s="22">
        <v>571.040026246719</v>
      </c>
      <c r="I3" s="22"/>
      <c r="J3" s="22">
        <v>494</v>
      </c>
      <c r="K3" s="22">
        <v>513</v>
      </c>
      <c r="L3" s="22">
        <v>513</v>
      </c>
      <c r="M3" s="22">
        <v>513</v>
      </c>
      <c r="N3" s="22">
        <v>504</v>
      </c>
      <c r="O3" s="22">
        <v>493</v>
      </c>
      <c r="P3" s="22">
        <v>513</v>
      </c>
      <c r="Q3" s="22">
        <v>513</v>
      </c>
      <c r="R3" s="22">
        <v>513</v>
      </c>
      <c r="S3" s="22">
        <v>503</v>
      </c>
      <c r="T3" s="22">
        <v>268</v>
      </c>
      <c r="U3" s="22">
        <v>268</v>
      </c>
      <c r="V3" s="22">
        <v>412</v>
      </c>
      <c r="W3" s="22">
        <v>484</v>
      </c>
      <c r="X3" s="22">
        <v>540</v>
      </c>
      <c r="Y3" s="22">
        <v>748</v>
      </c>
      <c r="Z3" s="22">
        <v>956</v>
      </c>
      <c r="AA3" s="22">
        <v>1008</v>
      </c>
      <c r="AB3" s="22">
        <v>1028</v>
      </c>
      <c r="AC3" s="22">
        <v>1216</v>
      </c>
      <c r="AD3" s="22">
        <v>1226</v>
      </c>
      <c r="AE3" s="22">
        <v>1426</v>
      </c>
      <c r="AF3" s="22">
        <v>1436</v>
      </c>
      <c r="AG3" s="22">
        <v>30</v>
      </c>
      <c r="AH3" s="22">
        <v>72</v>
      </c>
      <c r="AI3" s="22">
        <v>112</v>
      </c>
      <c r="AJ3" s="22">
        <v>152</v>
      </c>
      <c r="AK3" s="22">
        <v>192</v>
      </c>
      <c r="AL3" s="22">
        <v>232</v>
      </c>
      <c r="AM3" s="22">
        <v>272</v>
      </c>
      <c r="AN3" s="37"/>
      <c r="AO3" s="17"/>
      <c r="AP3" s="17"/>
      <c r="AQ3" s="17"/>
      <c r="AR3" s="17"/>
      <c r="AS3" s="40"/>
      <c r="AT3" s="23"/>
      <c r="AU3" s="23"/>
    </row>
    <row r="4" customFormat="1" spans="1:47">
      <c r="A4" s="11"/>
      <c r="B4" s="24"/>
      <c r="C4" s="13"/>
      <c r="D4" s="25" t="s">
        <v>46</v>
      </c>
      <c r="E4" s="25" t="s">
        <v>47</v>
      </c>
      <c r="F4" s="25" t="s">
        <v>48</v>
      </c>
      <c r="G4" s="25" t="s">
        <v>49</v>
      </c>
      <c r="H4" s="25" t="s">
        <v>50</v>
      </c>
      <c r="I4" s="25" t="s">
        <v>51</v>
      </c>
      <c r="J4" s="25" t="s">
        <v>52</v>
      </c>
      <c r="K4" s="25" t="s">
        <v>53</v>
      </c>
      <c r="L4" s="25" t="s">
        <v>54</v>
      </c>
      <c r="M4" s="25" t="s">
        <v>55</v>
      </c>
      <c r="N4" s="25" t="s">
        <v>56</v>
      </c>
      <c r="O4" s="25" t="s">
        <v>57</v>
      </c>
      <c r="P4" s="25" t="s">
        <v>58</v>
      </c>
      <c r="Q4" s="25" t="s">
        <v>59</v>
      </c>
      <c r="R4" s="25" t="s">
        <v>60</v>
      </c>
      <c r="S4" s="25" t="s">
        <v>61</v>
      </c>
      <c r="T4" s="25" t="s">
        <v>62</v>
      </c>
      <c r="U4" s="25" t="s">
        <v>63</v>
      </c>
      <c r="V4" s="25" t="s">
        <v>64</v>
      </c>
      <c r="W4" s="25" t="s">
        <v>65</v>
      </c>
      <c r="X4" s="25" t="s">
        <v>66</v>
      </c>
      <c r="Y4" s="25" t="s">
        <v>67</v>
      </c>
      <c r="Z4" s="25" t="s">
        <v>68</v>
      </c>
      <c r="AA4" s="25" t="s">
        <v>69</v>
      </c>
      <c r="AB4" s="25" t="s">
        <v>70</v>
      </c>
      <c r="AC4" s="25" t="s">
        <v>71</v>
      </c>
      <c r="AD4" s="25" t="s">
        <v>72</v>
      </c>
      <c r="AE4" s="25" t="s">
        <v>73</v>
      </c>
      <c r="AF4" s="25" t="s">
        <v>74</v>
      </c>
      <c r="AG4" s="25" t="s">
        <v>75</v>
      </c>
      <c r="AH4" s="25" t="s">
        <v>76</v>
      </c>
      <c r="AI4" s="25" t="s">
        <v>77</v>
      </c>
      <c r="AJ4" s="25" t="s">
        <v>78</v>
      </c>
      <c r="AK4" s="25" t="s">
        <v>79</v>
      </c>
      <c r="AL4" s="25" t="s">
        <v>80</v>
      </c>
      <c r="AM4" s="25" t="s">
        <v>81</v>
      </c>
      <c r="AN4" s="3"/>
      <c r="AO4" s="17"/>
      <c r="AP4" s="17"/>
      <c r="AQ4" s="17"/>
      <c r="AR4" s="17"/>
      <c r="AS4" s="40"/>
      <c r="AT4" s="23"/>
      <c r="AU4" s="23"/>
    </row>
    <row r="5" customFormat="1" spans="1:47">
      <c r="A5" s="11"/>
      <c r="B5" s="24"/>
      <c r="C5" s="13"/>
      <c r="D5" s="25" t="s">
        <v>82</v>
      </c>
      <c r="E5" s="25" t="s">
        <v>83</v>
      </c>
      <c r="F5" s="25" t="s">
        <v>84</v>
      </c>
      <c r="G5" s="25" t="s">
        <v>85</v>
      </c>
      <c r="H5" s="25" t="s">
        <v>86</v>
      </c>
      <c r="I5" s="25" t="s">
        <v>87</v>
      </c>
      <c r="J5" s="25" t="s">
        <v>88</v>
      </c>
      <c r="K5" s="25" t="s">
        <v>89</v>
      </c>
      <c r="L5" s="25" t="s">
        <v>90</v>
      </c>
      <c r="M5" s="25" t="s">
        <v>91</v>
      </c>
      <c r="N5" s="25" t="s">
        <v>92</v>
      </c>
      <c r="O5" s="25" t="s">
        <v>93</v>
      </c>
      <c r="P5" s="25" t="s">
        <v>94</v>
      </c>
      <c r="Q5" s="25" t="s">
        <v>95</v>
      </c>
      <c r="R5" s="25" t="s">
        <v>96</v>
      </c>
      <c r="S5" s="25" t="s">
        <v>97</v>
      </c>
      <c r="T5" s="25" t="s">
        <v>98</v>
      </c>
      <c r="U5" s="25" t="s">
        <v>99</v>
      </c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3"/>
      <c r="AO5" s="17"/>
      <c r="AP5" s="17"/>
      <c r="AQ5" s="17"/>
      <c r="AR5" s="17"/>
      <c r="AS5" s="40"/>
      <c r="AT5" s="20"/>
      <c r="AU5" s="20"/>
    </row>
    <row r="6" s="1" customFormat="1" spans="1:47">
      <c r="A6" s="1" t="s">
        <v>100</v>
      </c>
      <c r="B6" s="1" t="s">
        <v>101</v>
      </c>
      <c r="C6" s="1">
        <v>12</v>
      </c>
      <c r="D6" s="4"/>
      <c r="E6" s="4"/>
      <c r="F6" s="4"/>
      <c r="G6" s="4"/>
      <c r="H6" s="4"/>
      <c r="I6" s="4"/>
      <c r="J6" s="4">
        <v>9</v>
      </c>
      <c r="K6" s="4">
        <v>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>
        <v>3</v>
      </c>
      <c r="X6" s="4"/>
      <c r="Y6" s="4"/>
      <c r="Z6" s="4">
        <v>3</v>
      </c>
      <c r="AA6" s="4"/>
      <c r="AB6" s="4"/>
      <c r="AC6" s="4"/>
      <c r="AD6" s="4"/>
      <c r="AE6" s="4">
        <v>3</v>
      </c>
      <c r="AF6" s="4"/>
      <c r="AG6" s="4"/>
      <c r="AH6" s="4"/>
      <c r="AI6" s="4"/>
      <c r="AJ6" s="4"/>
      <c r="AK6" s="4"/>
      <c r="AL6" s="4"/>
      <c r="AM6" s="4"/>
      <c r="AN6" s="1"/>
      <c r="AO6" s="66" t="s">
        <v>102</v>
      </c>
      <c r="AP6" s="37">
        <v>5</v>
      </c>
      <c r="AQ6" s="54">
        <v>7405</v>
      </c>
      <c r="AR6" s="67">
        <v>3</v>
      </c>
      <c r="AS6" s="42">
        <v>796</v>
      </c>
      <c r="AT6" s="28" t="s">
        <v>103</v>
      </c>
      <c r="AU6" s="28">
        <v>1</v>
      </c>
    </row>
    <row r="7" s="1" customFormat="1" spans="1:47">
      <c r="A7" s="1" t="s">
        <v>104</v>
      </c>
      <c r="B7" s="1" t="s">
        <v>101</v>
      </c>
      <c r="C7" s="1">
        <v>12</v>
      </c>
      <c r="D7" s="4"/>
      <c r="E7" s="4"/>
      <c r="F7" s="4"/>
      <c r="G7" s="4"/>
      <c r="H7" s="4"/>
      <c r="I7" s="4"/>
      <c r="J7" s="4">
        <v>9</v>
      </c>
      <c r="K7" s="4">
        <v>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>
        <v>3</v>
      </c>
      <c r="X7" s="4"/>
      <c r="Y7" s="4"/>
      <c r="Z7" s="4">
        <v>3</v>
      </c>
      <c r="AA7" s="4"/>
      <c r="AB7" s="4"/>
      <c r="AC7" s="4"/>
      <c r="AD7" s="4"/>
      <c r="AE7" s="4">
        <v>3</v>
      </c>
      <c r="AF7" s="4"/>
      <c r="AG7" s="4"/>
      <c r="AH7" s="4"/>
      <c r="AI7" s="4"/>
      <c r="AJ7" s="4"/>
      <c r="AK7" s="4"/>
      <c r="AL7" s="4"/>
      <c r="AM7" s="4"/>
      <c r="AN7" s="1"/>
      <c r="AO7" s="66" t="s">
        <v>102</v>
      </c>
      <c r="AP7" s="37">
        <v>6</v>
      </c>
      <c r="AQ7" s="54">
        <v>7590</v>
      </c>
      <c r="AR7" s="67">
        <v>3</v>
      </c>
      <c r="AS7" s="42">
        <v>1100</v>
      </c>
      <c r="AT7" s="28"/>
      <c r="AU7" s="28"/>
    </row>
    <row r="8" s="1" customFormat="1" spans="1:47">
      <c r="A8" s="1" t="s">
        <v>105</v>
      </c>
      <c r="B8" s="1" t="s">
        <v>106</v>
      </c>
      <c r="C8" s="1">
        <v>8</v>
      </c>
      <c r="D8" s="4"/>
      <c r="E8" s="4"/>
      <c r="F8" s="4"/>
      <c r="G8" s="4"/>
      <c r="H8" s="4"/>
      <c r="I8" s="4"/>
      <c r="J8" s="4">
        <v>6</v>
      </c>
      <c r="K8" s="4"/>
      <c r="L8" s="4"/>
      <c r="M8" s="4"/>
      <c r="N8" s="4"/>
      <c r="O8" s="4"/>
      <c r="P8" s="4"/>
      <c r="Q8" s="4"/>
      <c r="R8" s="4"/>
      <c r="S8" s="4">
        <v>2</v>
      </c>
      <c r="T8" s="4"/>
      <c r="U8" s="4"/>
      <c r="V8" s="4"/>
      <c r="W8" s="4">
        <v>2</v>
      </c>
      <c r="X8" s="4"/>
      <c r="Y8" s="4"/>
      <c r="Z8" s="4">
        <v>2</v>
      </c>
      <c r="AA8" s="4"/>
      <c r="AB8" s="4"/>
      <c r="AC8" s="4"/>
      <c r="AD8" s="4"/>
      <c r="AE8" s="4"/>
      <c r="AF8" s="4">
        <v>2</v>
      </c>
      <c r="AG8" s="4"/>
      <c r="AH8" s="4"/>
      <c r="AI8" s="4"/>
      <c r="AJ8" s="4"/>
      <c r="AK8" s="4"/>
      <c r="AL8" s="4"/>
      <c r="AM8" s="4"/>
      <c r="AN8" s="1"/>
      <c r="AO8" s="66" t="s">
        <v>102</v>
      </c>
      <c r="AP8" s="37">
        <v>3</v>
      </c>
      <c r="AQ8" s="54">
        <v>3795</v>
      </c>
      <c r="AR8" s="67">
        <v>2</v>
      </c>
      <c r="AS8" s="42">
        <v>348</v>
      </c>
      <c r="AT8" s="28" t="s">
        <v>102</v>
      </c>
      <c r="AU8" s="28">
        <v>1</v>
      </c>
    </row>
    <row r="9" s="1" customFormat="1" spans="1:47">
      <c r="A9" s="1" t="s">
        <v>107</v>
      </c>
      <c r="B9" s="1" t="s">
        <v>106</v>
      </c>
      <c r="C9" s="1">
        <v>8</v>
      </c>
      <c r="D9" s="4"/>
      <c r="E9" s="4"/>
      <c r="F9" s="4"/>
      <c r="G9" s="4"/>
      <c r="H9" s="4"/>
      <c r="I9" s="4"/>
      <c r="J9" s="4">
        <v>6</v>
      </c>
      <c r="K9" s="4"/>
      <c r="L9" s="4"/>
      <c r="M9" s="4"/>
      <c r="N9" s="4"/>
      <c r="O9" s="4"/>
      <c r="P9" s="4"/>
      <c r="Q9" s="4"/>
      <c r="R9" s="4"/>
      <c r="S9" s="4">
        <v>2</v>
      </c>
      <c r="T9" s="4"/>
      <c r="U9" s="4"/>
      <c r="V9" s="4"/>
      <c r="W9" s="4">
        <v>2</v>
      </c>
      <c r="X9" s="4"/>
      <c r="Y9" s="4"/>
      <c r="Z9" s="4">
        <v>2</v>
      </c>
      <c r="AA9" s="4"/>
      <c r="AB9" s="4"/>
      <c r="AC9" s="4"/>
      <c r="AD9" s="4"/>
      <c r="AE9" s="4"/>
      <c r="AF9" s="4">
        <v>2</v>
      </c>
      <c r="AG9" s="4"/>
      <c r="AH9" s="4"/>
      <c r="AI9" s="4"/>
      <c r="AJ9" s="4"/>
      <c r="AK9" s="4"/>
      <c r="AL9" s="4"/>
      <c r="AM9" s="4"/>
      <c r="AN9" s="1"/>
      <c r="AO9" s="66" t="s">
        <v>102</v>
      </c>
      <c r="AP9" s="37">
        <v>6</v>
      </c>
      <c r="AQ9" s="54">
        <v>8886</v>
      </c>
      <c r="AR9" s="67">
        <v>2</v>
      </c>
      <c r="AS9" s="42">
        <v>1100</v>
      </c>
      <c r="AT9" s="28"/>
      <c r="AU9" s="28"/>
    </row>
    <row r="10" s="1" customFormat="1" spans="1:47">
      <c r="A10" s="1" t="s">
        <v>108</v>
      </c>
      <c r="B10" s="1" t="s">
        <v>101</v>
      </c>
      <c r="C10" s="1">
        <v>12</v>
      </c>
      <c r="D10" s="4"/>
      <c r="E10" s="4"/>
      <c r="F10" s="4"/>
      <c r="G10" s="4"/>
      <c r="H10" s="4"/>
      <c r="I10" s="4"/>
      <c r="J10" s="4">
        <v>9</v>
      </c>
      <c r="K10" s="4">
        <v>3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>
        <v>3</v>
      </c>
      <c r="X10" s="4"/>
      <c r="Y10" s="4"/>
      <c r="Z10" s="4">
        <v>3</v>
      </c>
      <c r="AA10" s="4"/>
      <c r="AB10" s="4"/>
      <c r="AC10" s="4"/>
      <c r="AD10" s="4"/>
      <c r="AE10" s="4">
        <v>3</v>
      </c>
      <c r="AF10" s="4"/>
      <c r="AG10" s="4"/>
      <c r="AH10" s="4"/>
      <c r="AI10" s="4"/>
      <c r="AJ10" s="4"/>
      <c r="AK10" s="4"/>
      <c r="AL10" s="4"/>
      <c r="AM10" s="4"/>
      <c r="AN10" s="1"/>
      <c r="AO10" s="66" t="s">
        <v>102</v>
      </c>
      <c r="AP10" s="37">
        <v>6</v>
      </c>
      <c r="AQ10" s="54">
        <v>8886</v>
      </c>
      <c r="AR10" s="67">
        <v>3</v>
      </c>
      <c r="AS10" s="42">
        <v>1100</v>
      </c>
      <c r="AT10" s="28"/>
      <c r="AU10" s="28"/>
    </row>
    <row r="11" s="1" customFormat="1" spans="1:47">
      <c r="A11" s="1" t="s">
        <v>109</v>
      </c>
      <c r="B11" s="1" t="s">
        <v>101</v>
      </c>
      <c r="C11" s="1">
        <v>12</v>
      </c>
      <c r="D11" s="4"/>
      <c r="E11" s="4"/>
      <c r="F11" s="4"/>
      <c r="G11" s="4"/>
      <c r="H11" s="4"/>
      <c r="I11" s="4"/>
      <c r="J11" s="4">
        <v>9</v>
      </c>
      <c r="K11" s="4">
        <v>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>
        <v>3</v>
      </c>
      <c r="X11" s="4"/>
      <c r="Y11" s="4"/>
      <c r="Z11" s="4">
        <v>3</v>
      </c>
      <c r="AA11" s="4"/>
      <c r="AB11" s="4"/>
      <c r="AC11" s="4"/>
      <c r="AD11" s="4"/>
      <c r="AE11" s="4">
        <v>3</v>
      </c>
      <c r="AF11" s="4"/>
      <c r="AG11" s="4"/>
      <c r="AH11" s="4"/>
      <c r="AI11" s="4"/>
      <c r="AJ11" s="4"/>
      <c r="AK11" s="4"/>
      <c r="AL11" s="4"/>
      <c r="AM11" s="4"/>
      <c r="AN11" s="1"/>
      <c r="AO11" s="66" t="s">
        <v>102</v>
      </c>
      <c r="AP11" s="37">
        <v>6</v>
      </c>
      <c r="AQ11" s="54">
        <v>8886</v>
      </c>
      <c r="AR11" s="67">
        <v>3</v>
      </c>
      <c r="AS11" s="42">
        <v>1100</v>
      </c>
      <c r="AT11" s="28"/>
      <c r="AU11" s="28"/>
    </row>
    <row r="12" s="1" customFormat="1" spans="1:47">
      <c r="A12" s="8" t="s">
        <v>110</v>
      </c>
      <c r="B12" s="1" t="s">
        <v>101</v>
      </c>
      <c r="C12" s="1">
        <v>12</v>
      </c>
      <c r="D12" s="4"/>
      <c r="E12" s="4"/>
      <c r="F12" s="4"/>
      <c r="G12" s="4"/>
      <c r="H12" s="4"/>
      <c r="I12" s="4"/>
      <c r="J12" s="4">
        <v>9</v>
      </c>
      <c r="K12" s="4">
        <v>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>
        <v>3</v>
      </c>
      <c r="X12" s="4"/>
      <c r="Y12" s="4"/>
      <c r="Z12" s="4">
        <v>3</v>
      </c>
      <c r="AA12" s="4"/>
      <c r="AB12" s="4"/>
      <c r="AC12" s="4"/>
      <c r="AD12" s="4"/>
      <c r="AE12" s="4">
        <v>3</v>
      </c>
      <c r="AF12" s="4"/>
      <c r="AG12" s="4"/>
      <c r="AH12" s="4"/>
      <c r="AI12" s="4"/>
      <c r="AJ12" s="4"/>
      <c r="AK12" s="4"/>
      <c r="AL12" s="4"/>
      <c r="AM12" s="4"/>
      <c r="AN12" s="1"/>
      <c r="AO12" s="66" t="s">
        <v>102</v>
      </c>
      <c r="AP12" s="37">
        <v>6</v>
      </c>
      <c r="AQ12" s="54">
        <v>8886</v>
      </c>
      <c r="AR12" s="67">
        <v>3</v>
      </c>
      <c r="AS12" s="42">
        <v>1100</v>
      </c>
      <c r="AT12" s="28"/>
      <c r="AU12" s="28"/>
    </row>
    <row r="13" s="1" customFormat="1" spans="1:47">
      <c r="A13" s="1" t="s">
        <v>111</v>
      </c>
      <c r="B13" s="1" t="s">
        <v>106</v>
      </c>
      <c r="C13" s="1">
        <v>8</v>
      </c>
      <c r="D13" s="4"/>
      <c r="E13" s="4"/>
      <c r="F13" s="4"/>
      <c r="G13" s="4"/>
      <c r="H13" s="4"/>
      <c r="I13" s="4"/>
      <c r="J13" s="4">
        <v>6</v>
      </c>
      <c r="K13" s="4"/>
      <c r="L13" s="4"/>
      <c r="M13" s="4"/>
      <c r="N13" s="4"/>
      <c r="O13" s="4"/>
      <c r="P13" s="4"/>
      <c r="Q13" s="4"/>
      <c r="R13" s="4"/>
      <c r="S13" s="4">
        <v>2</v>
      </c>
      <c r="T13" s="4"/>
      <c r="U13" s="4"/>
      <c r="V13" s="4"/>
      <c r="W13" s="4">
        <v>2</v>
      </c>
      <c r="X13" s="4"/>
      <c r="Y13" s="4"/>
      <c r="Z13" s="4">
        <v>2</v>
      </c>
      <c r="AA13" s="4"/>
      <c r="AB13" s="4"/>
      <c r="AC13" s="4"/>
      <c r="AD13" s="4"/>
      <c r="AE13" s="4"/>
      <c r="AF13" s="4">
        <v>2</v>
      </c>
      <c r="AG13" s="4"/>
      <c r="AH13" s="4"/>
      <c r="AI13" s="4"/>
      <c r="AJ13" s="4"/>
      <c r="AK13" s="4"/>
      <c r="AL13" s="4"/>
      <c r="AM13" s="4"/>
      <c r="AN13" s="1"/>
      <c r="AO13" s="66" t="s">
        <v>102</v>
      </c>
      <c r="AP13" s="37">
        <v>3</v>
      </c>
      <c r="AQ13" s="54">
        <v>14640</v>
      </c>
      <c r="AR13" s="67">
        <v>2</v>
      </c>
      <c r="AS13" s="42">
        <v>696</v>
      </c>
      <c r="AT13" s="28" t="s">
        <v>102</v>
      </c>
      <c r="AU13" s="28">
        <v>1</v>
      </c>
    </row>
    <row r="14" s="1" customFormat="1" spans="1:47">
      <c r="A14" s="1" t="s">
        <v>112</v>
      </c>
      <c r="B14" s="1" t="s">
        <v>106</v>
      </c>
      <c r="C14" s="1">
        <v>8</v>
      </c>
      <c r="D14" s="4"/>
      <c r="E14" s="4"/>
      <c r="F14" s="4"/>
      <c r="G14" s="4"/>
      <c r="H14" s="4"/>
      <c r="I14" s="4"/>
      <c r="J14" s="4">
        <v>6</v>
      </c>
      <c r="K14" s="4"/>
      <c r="L14" s="4"/>
      <c r="M14" s="4"/>
      <c r="N14" s="4"/>
      <c r="O14" s="4"/>
      <c r="P14" s="4"/>
      <c r="Q14" s="4"/>
      <c r="R14" s="4"/>
      <c r="S14" s="4">
        <v>2</v>
      </c>
      <c r="T14" s="4"/>
      <c r="U14" s="4"/>
      <c r="V14" s="4"/>
      <c r="W14" s="4">
        <v>2</v>
      </c>
      <c r="X14" s="4"/>
      <c r="Y14" s="4"/>
      <c r="Z14" s="4">
        <v>2</v>
      </c>
      <c r="AA14" s="4"/>
      <c r="AB14" s="4"/>
      <c r="AC14" s="4"/>
      <c r="AD14" s="4"/>
      <c r="AE14" s="4"/>
      <c r="AF14" s="4">
        <v>2</v>
      </c>
      <c r="AG14" s="4"/>
      <c r="AH14" s="4"/>
      <c r="AI14" s="4"/>
      <c r="AJ14" s="4"/>
      <c r="AK14" s="4"/>
      <c r="AL14" s="4"/>
      <c r="AM14" s="4"/>
      <c r="AN14" s="1"/>
      <c r="AO14" s="66" t="s">
        <v>102</v>
      </c>
      <c r="AP14" s="37">
        <v>3</v>
      </c>
      <c r="AQ14" s="54">
        <v>14640</v>
      </c>
      <c r="AR14" s="67">
        <v>2</v>
      </c>
      <c r="AS14" s="44">
        <v>696</v>
      </c>
      <c r="AT14" s="28"/>
      <c r="AU14" s="28"/>
    </row>
    <row r="15" s="1" customFormat="1" spans="1:47">
      <c r="A15" s="1" t="s">
        <v>113</v>
      </c>
      <c r="B15" s="1" t="s">
        <v>114</v>
      </c>
      <c r="C15" s="1">
        <v>8</v>
      </c>
      <c r="D15" s="4"/>
      <c r="E15" s="4"/>
      <c r="F15" s="4"/>
      <c r="G15" s="4"/>
      <c r="H15" s="4"/>
      <c r="I15" s="4"/>
      <c r="J15" s="4">
        <v>2</v>
      </c>
      <c r="K15" s="4">
        <v>2</v>
      </c>
      <c r="L15" s="4"/>
      <c r="M15" s="4"/>
      <c r="N15" s="4"/>
      <c r="O15" s="4"/>
      <c r="P15" s="4">
        <v>2</v>
      </c>
      <c r="Q15" s="4"/>
      <c r="R15" s="4"/>
      <c r="S15" s="4"/>
      <c r="T15" s="4"/>
      <c r="U15" s="4">
        <v>2</v>
      </c>
      <c r="V15" s="4"/>
      <c r="W15" s="4">
        <v>2</v>
      </c>
      <c r="X15" s="4"/>
      <c r="Y15" s="4">
        <v>2</v>
      </c>
      <c r="Z15" s="4"/>
      <c r="AA15" s="4"/>
      <c r="AB15" s="4"/>
      <c r="AC15" s="4">
        <v>2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1"/>
      <c r="AO15" s="66" t="s">
        <v>102</v>
      </c>
      <c r="AP15" s="37">
        <v>3</v>
      </c>
      <c r="AQ15" s="54">
        <v>14640</v>
      </c>
      <c r="AR15" s="67">
        <v>2</v>
      </c>
      <c r="AS15" s="44">
        <v>696</v>
      </c>
      <c r="AT15" s="28"/>
      <c r="AU15" s="28"/>
    </row>
    <row r="16" s="1" customFormat="1" spans="1:47">
      <c r="A16" s="1" t="s">
        <v>115</v>
      </c>
      <c r="B16" s="1" t="s">
        <v>116</v>
      </c>
      <c r="C16" s="1">
        <v>8</v>
      </c>
      <c r="D16" s="4"/>
      <c r="E16" s="4"/>
      <c r="F16" s="4"/>
      <c r="G16" s="4"/>
      <c r="H16" s="4"/>
      <c r="I16" s="4"/>
      <c r="J16" s="4">
        <v>2</v>
      </c>
      <c r="K16" s="4">
        <v>2</v>
      </c>
      <c r="L16" s="4"/>
      <c r="M16" s="4"/>
      <c r="N16" s="4"/>
      <c r="O16" s="4"/>
      <c r="P16" s="4">
        <v>2</v>
      </c>
      <c r="Q16" s="4"/>
      <c r="R16" s="4"/>
      <c r="S16" s="4"/>
      <c r="T16" s="4"/>
      <c r="U16" s="4">
        <v>2</v>
      </c>
      <c r="V16" s="4"/>
      <c r="W16" s="4">
        <v>2</v>
      </c>
      <c r="X16" s="4"/>
      <c r="Y16" s="4">
        <v>2</v>
      </c>
      <c r="Z16" s="4"/>
      <c r="AA16" s="4"/>
      <c r="AB16" s="4"/>
      <c r="AC16" s="4">
        <v>2</v>
      </c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1"/>
      <c r="AO16" s="66" t="s">
        <v>102</v>
      </c>
      <c r="AP16" s="37">
        <v>6</v>
      </c>
      <c r="AQ16" s="54">
        <v>7590</v>
      </c>
      <c r="AR16" s="67">
        <v>2</v>
      </c>
      <c r="AS16" s="44">
        <v>1100</v>
      </c>
      <c r="AT16" s="28"/>
      <c r="AU16" s="28"/>
    </row>
    <row r="17" s="1" customFormat="1" spans="1:47">
      <c r="A17" s="1" t="s">
        <v>117</v>
      </c>
      <c r="B17" s="1" t="s">
        <v>118</v>
      </c>
      <c r="C17" s="1">
        <v>8</v>
      </c>
      <c r="D17" s="4"/>
      <c r="E17" s="4"/>
      <c r="F17" s="4"/>
      <c r="G17" s="4"/>
      <c r="H17" s="4"/>
      <c r="I17" s="4"/>
      <c r="J17" s="4">
        <v>5</v>
      </c>
      <c r="K17" s="4">
        <v>2</v>
      </c>
      <c r="L17" s="4"/>
      <c r="M17" s="4"/>
      <c r="N17" s="4"/>
      <c r="O17" s="4"/>
      <c r="P17" s="4"/>
      <c r="Q17" s="4"/>
      <c r="R17" s="4"/>
      <c r="S17" s="4">
        <v>1</v>
      </c>
      <c r="T17" s="4"/>
      <c r="U17" s="4"/>
      <c r="V17" s="4"/>
      <c r="W17" s="4">
        <v>2</v>
      </c>
      <c r="X17" s="4"/>
      <c r="Y17" s="4"/>
      <c r="Z17" s="4">
        <v>2</v>
      </c>
      <c r="AA17" s="4"/>
      <c r="AB17" s="4"/>
      <c r="AC17" s="4"/>
      <c r="AD17" s="4"/>
      <c r="AE17" s="4"/>
      <c r="AF17" s="4">
        <v>2</v>
      </c>
      <c r="AG17" s="4"/>
      <c r="AH17" s="4"/>
      <c r="AI17" s="4"/>
      <c r="AJ17" s="4"/>
      <c r="AK17" s="4"/>
      <c r="AL17" s="4"/>
      <c r="AM17" s="4"/>
      <c r="AN17" s="1"/>
      <c r="AO17" s="66" t="s">
        <v>102</v>
      </c>
      <c r="AP17" s="37">
        <v>6</v>
      </c>
      <c r="AQ17" s="54">
        <v>7590</v>
      </c>
      <c r="AR17" s="67">
        <v>2</v>
      </c>
      <c r="AS17" s="44">
        <v>1100</v>
      </c>
      <c r="AT17" s="28"/>
      <c r="AU17" s="28"/>
    </row>
    <row r="18" s="1" customFormat="1" spans="1:47">
      <c r="A18" s="1" t="s">
        <v>119</v>
      </c>
      <c r="B18" s="1" t="s">
        <v>118</v>
      </c>
      <c r="C18" s="1">
        <v>8</v>
      </c>
      <c r="D18" s="4"/>
      <c r="E18" s="4"/>
      <c r="F18" s="4"/>
      <c r="G18" s="4"/>
      <c r="H18" s="4"/>
      <c r="I18" s="4"/>
      <c r="J18" s="4">
        <v>5</v>
      </c>
      <c r="K18" s="4">
        <v>2</v>
      </c>
      <c r="L18" s="4"/>
      <c r="M18" s="4"/>
      <c r="N18" s="4"/>
      <c r="O18" s="4"/>
      <c r="P18" s="4"/>
      <c r="Q18" s="4"/>
      <c r="R18" s="4"/>
      <c r="S18" s="4">
        <v>1</v>
      </c>
      <c r="T18" s="4"/>
      <c r="U18" s="4"/>
      <c r="V18" s="4"/>
      <c r="W18" s="4">
        <v>2</v>
      </c>
      <c r="X18" s="4"/>
      <c r="Y18" s="4"/>
      <c r="Z18" s="4">
        <v>2</v>
      </c>
      <c r="AA18" s="4"/>
      <c r="AB18" s="4"/>
      <c r="AC18" s="4"/>
      <c r="AD18" s="4"/>
      <c r="AE18" s="4"/>
      <c r="AF18" s="4">
        <v>2</v>
      </c>
      <c r="AG18" s="4"/>
      <c r="AH18" s="4"/>
      <c r="AI18" s="4"/>
      <c r="AJ18" s="4"/>
      <c r="AK18" s="4"/>
      <c r="AL18" s="4"/>
      <c r="AM18" s="4"/>
      <c r="AN18" s="1"/>
      <c r="AO18" s="66" t="s">
        <v>102</v>
      </c>
      <c r="AP18" s="37">
        <v>6</v>
      </c>
      <c r="AQ18" s="54">
        <v>7590</v>
      </c>
      <c r="AR18" s="67">
        <v>2</v>
      </c>
      <c r="AS18" s="44">
        <v>1100</v>
      </c>
      <c r="AT18" s="28"/>
      <c r="AU18" s="28"/>
    </row>
    <row r="19" s="1" customFormat="1" spans="1:47">
      <c r="A19" s="1" t="s">
        <v>120</v>
      </c>
      <c r="B19" s="1" t="s">
        <v>101</v>
      </c>
      <c r="C19" s="1">
        <v>12</v>
      </c>
      <c r="D19" s="4"/>
      <c r="E19" s="4"/>
      <c r="F19" s="4"/>
      <c r="G19" s="4"/>
      <c r="H19" s="4"/>
      <c r="I19" s="4"/>
      <c r="J19" s="4">
        <v>9</v>
      </c>
      <c r="K19" s="4">
        <v>3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>
        <v>3</v>
      </c>
      <c r="X19" s="4"/>
      <c r="Y19" s="4"/>
      <c r="Z19" s="4">
        <v>3</v>
      </c>
      <c r="AA19" s="4"/>
      <c r="AB19" s="4"/>
      <c r="AC19" s="4"/>
      <c r="AD19" s="4"/>
      <c r="AE19" s="4">
        <v>3</v>
      </c>
      <c r="AF19" s="4"/>
      <c r="AG19" s="4"/>
      <c r="AH19" s="4"/>
      <c r="AI19" s="4"/>
      <c r="AJ19" s="4"/>
      <c r="AK19" s="4"/>
      <c r="AL19" s="4"/>
      <c r="AM19" s="4"/>
      <c r="AN19" s="1"/>
      <c r="AO19" s="66" t="s">
        <v>102</v>
      </c>
      <c r="AP19" s="37">
        <v>2</v>
      </c>
      <c r="AQ19" s="54">
        <v>9760</v>
      </c>
      <c r="AR19" s="67">
        <v>3</v>
      </c>
      <c r="AS19" s="44">
        <v>408</v>
      </c>
      <c r="AT19" s="28"/>
      <c r="AU19" s="28"/>
    </row>
    <row r="20" s="1" customFormat="1" spans="1:47">
      <c r="A20" s="1" t="s">
        <v>121</v>
      </c>
      <c r="B20" s="1" t="s">
        <v>101</v>
      </c>
      <c r="C20" s="1">
        <v>12</v>
      </c>
      <c r="D20" s="4"/>
      <c r="E20" s="4"/>
      <c r="F20" s="4"/>
      <c r="G20" s="4"/>
      <c r="H20" s="4"/>
      <c r="I20" s="4"/>
      <c r="J20" s="4">
        <v>9</v>
      </c>
      <c r="K20" s="4">
        <v>3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>
        <v>3</v>
      </c>
      <c r="X20" s="4"/>
      <c r="Y20" s="4"/>
      <c r="Z20" s="4">
        <v>3</v>
      </c>
      <c r="AA20" s="4"/>
      <c r="AB20" s="4"/>
      <c r="AC20" s="4"/>
      <c r="AD20" s="4"/>
      <c r="AE20" s="4">
        <v>3</v>
      </c>
      <c r="AF20" s="4"/>
      <c r="AG20" s="4"/>
      <c r="AH20" s="4"/>
      <c r="AI20" s="4"/>
      <c r="AJ20" s="4"/>
      <c r="AK20" s="4"/>
      <c r="AL20" s="4"/>
      <c r="AM20" s="4"/>
      <c r="AN20" s="1"/>
      <c r="AO20" s="66" t="s">
        <v>102</v>
      </c>
      <c r="AP20" s="37">
        <v>2</v>
      </c>
      <c r="AQ20" s="54">
        <v>9760</v>
      </c>
      <c r="AR20" s="67">
        <v>3</v>
      </c>
      <c r="AS20" s="44">
        <v>408</v>
      </c>
      <c r="AT20" s="28" t="s">
        <v>102</v>
      </c>
      <c r="AU20" s="28">
        <v>1</v>
      </c>
    </row>
    <row r="21" s="1" customFormat="1" spans="1:47">
      <c r="A21" s="1" t="s">
        <v>122</v>
      </c>
      <c r="B21" s="1" t="s">
        <v>101</v>
      </c>
      <c r="C21" s="1">
        <v>12</v>
      </c>
      <c r="D21" s="4"/>
      <c r="E21" s="4"/>
      <c r="F21" s="4"/>
      <c r="G21" s="4"/>
      <c r="H21" s="4"/>
      <c r="I21" s="4"/>
      <c r="J21" s="4">
        <v>9</v>
      </c>
      <c r="K21" s="4">
        <v>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>
        <v>3</v>
      </c>
      <c r="X21" s="4"/>
      <c r="Y21" s="4"/>
      <c r="Z21" s="4">
        <v>3</v>
      </c>
      <c r="AA21" s="4"/>
      <c r="AB21" s="4"/>
      <c r="AC21" s="4"/>
      <c r="AD21" s="4"/>
      <c r="AE21" s="4">
        <v>3</v>
      </c>
      <c r="AF21" s="4"/>
      <c r="AG21" s="4"/>
      <c r="AH21" s="4"/>
      <c r="AI21" s="4"/>
      <c r="AJ21" s="4"/>
      <c r="AK21" s="4"/>
      <c r="AL21" s="4"/>
      <c r="AM21" s="4"/>
      <c r="AN21" s="1"/>
      <c r="AO21" s="66" t="s">
        <v>102</v>
      </c>
      <c r="AP21" s="37">
        <v>3</v>
      </c>
      <c r="AQ21" s="54">
        <v>14640</v>
      </c>
      <c r="AR21" s="67">
        <v>3</v>
      </c>
      <c r="AS21" s="44">
        <v>696</v>
      </c>
      <c r="AT21" s="28"/>
      <c r="AU21" s="28"/>
    </row>
    <row r="22" s="1" customFormat="1" spans="1:47">
      <c r="A22" s="1" t="s">
        <v>123</v>
      </c>
      <c r="B22" s="1" t="s">
        <v>101</v>
      </c>
      <c r="C22" s="1">
        <v>12</v>
      </c>
      <c r="D22" s="4"/>
      <c r="E22" s="4"/>
      <c r="F22" s="4"/>
      <c r="G22" s="4"/>
      <c r="H22" s="4"/>
      <c r="I22" s="4"/>
      <c r="J22" s="4">
        <v>9</v>
      </c>
      <c r="K22" s="4">
        <v>3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>
        <v>3</v>
      </c>
      <c r="X22" s="4"/>
      <c r="Y22" s="4"/>
      <c r="Z22" s="4">
        <v>3</v>
      </c>
      <c r="AA22" s="4"/>
      <c r="AB22" s="4"/>
      <c r="AC22" s="4"/>
      <c r="AD22" s="4"/>
      <c r="AE22" s="4">
        <v>3</v>
      </c>
      <c r="AF22" s="4"/>
      <c r="AG22" s="4"/>
      <c r="AH22" s="4"/>
      <c r="AI22" s="4"/>
      <c r="AJ22" s="4"/>
      <c r="AK22" s="4"/>
      <c r="AL22" s="4"/>
      <c r="AM22" s="4"/>
      <c r="AN22" s="1"/>
      <c r="AO22" s="66" t="s">
        <v>102</v>
      </c>
      <c r="AP22" s="37">
        <v>3</v>
      </c>
      <c r="AQ22" s="54">
        <v>14640</v>
      </c>
      <c r="AR22" s="67">
        <v>3</v>
      </c>
      <c r="AS22" s="44">
        <v>696</v>
      </c>
      <c r="AT22" s="28"/>
      <c r="AU22" s="28"/>
    </row>
    <row r="23" s="1" customFormat="1" spans="1:47">
      <c r="A23" s="1" t="s">
        <v>124</v>
      </c>
      <c r="B23" s="1" t="s">
        <v>101</v>
      </c>
      <c r="C23" s="1">
        <v>12</v>
      </c>
      <c r="D23" s="4"/>
      <c r="E23" s="4"/>
      <c r="F23" s="4"/>
      <c r="G23" s="4"/>
      <c r="H23" s="4"/>
      <c r="I23" s="4"/>
      <c r="J23" s="4">
        <v>9</v>
      </c>
      <c r="K23" s="4">
        <v>3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>
        <v>3</v>
      </c>
      <c r="X23" s="4"/>
      <c r="Y23" s="4"/>
      <c r="Z23" s="4">
        <v>3</v>
      </c>
      <c r="AA23" s="4"/>
      <c r="AB23" s="4"/>
      <c r="AC23" s="4"/>
      <c r="AD23" s="4"/>
      <c r="AE23" s="4">
        <v>3</v>
      </c>
      <c r="AF23" s="4"/>
      <c r="AG23" s="4"/>
      <c r="AH23" s="4"/>
      <c r="AI23" s="4"/>
      <c r="AJ23" s="4"/>
      <c r="AK23" s="4"/>
      <c r="AL23" s="4"/>
      <c r="AM23" s="4"/>
      <c r="AN23" s="1"/>
      <c r="AO23" s="66" t="s">
        <v>102</v>
      </c>
      <c r="AP23" s="37">
        <v>7</v>
      </c>
      <c r="AQ23" s="54">
        <v>3997</v>
      </c>
      <c r="AR23" s="67">
        <v>3</v>
      </c>
      <c r="AS23" s="44">
        <v>702</v>
      </c>
      <c r="AT23" s="28"/>
      <c r="AU23" s="28"/>
    </row>
    <row r="24" s="1" customFormat="1" spans="1:47">
      <c r="A24" s="1" t="s">
        <v>125</v>
      </c>
      <c r="B24" s="1" t="s">
        <v>101</v>
      </c>
      <c r="C24" s="1">
        <v>12</v>
      </c>
      <c r="D24" s="4"/>
      <c r="E24" s="4"/>
      <c r="F24" s="4"/>
      <c r="G24" s="4"/>
      <c r="H24" s="4"/>
      <c r="I24" s="4"/>
      <c r="J24" s="4">
        <v>9</v>
      </c>
      <c r="K24" s="4">
        <v>3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>
        <v>3</v>
      </c>
      <c r="X24" s="4"/>
      <c r="Y24" s="4"/>
      <c r="Z24" s="4">
        <v>3</v>
      </c>
      <c r="AA24" s="4"/>
      <c r="AB24" s="4"/>
      <c r="AC24" s="4"/>
      <c r="AD24" s="4"/>
      <c r="AE24" s="4">
        <v>3</v>
      </c>
      <c r="AF24" s="4"/>
      <c r="AG24" s="4"/>
      <c r="AH24" s="4"/>
      <c r="AI24" s="4"/>
      <c r="AJ24" s="4"/>
      <c r="AK24" s="4"/>
      <c r="AL24" s="4"/>
      <c r="AM24" s="4"/>
      <c r="AN24" s="1"/>
      <c r="AO24" s="66" t="s">
        <v>102</v>
      </c>
      <c r="AP24" s="37">
        <v>7</v>
      </c>
      <c r="AQ24" s="54">
        <v>3997</v>
      </c>
      <c r="AR24" s="67">
        <v>3</v>
      </c>
      <c r="AS24" s="44">
        <v>702</v>
      </c>
      <c r="AT24" s="28" t="s">
        <v>103</v>
      </c>
      <c r="AU24" s="28">
        <v>1</v>
      </c>
    </row>
    <row r="25" s="1" customFormat="1" spans="1:47">
      <c r="A25" s="1" t="s">
        <v>126</v>
      </c>
      <c r="B25" s="1" t="s">
        <v>101</v>
      </c>
      <c r="C25" s="1">
        <v>12</v>
      </c>
      <c r="D25" s="4"/>
      <c r="E25" s="4"/>
      <c r="F25" s="4"/>
      <c r="G25" s="4"/>
      <c r="H25" s="4"/>
      <c r="I25" s="4"/>
      <c r="J25" s="4">
        <v>9</v>
      </c>
      <c r="K25" s="4">
        <v>3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>
        <v>3</v>
      </c>
      <c r="X25" s="4"/>
      <c r="Y25" s="4"/>
      <c r="Z25" s="4">
        <v>3</v>
      </c>
      <c r="AA25" s="4"/>
      <c r="AB25" s="4"/>
      <c r="AC25" s="4"/>
      <c r="AD25" s="4"/>
      <c r="AE25" s="4">
        <v>3</v>
      </c>
      <c r="AF25" s="4"/>
      <c r="AG25" s="4"/>
      <c r="AH25" s="4"/>
      <c r="AI25" s="4"/>
      <c r="AJ25" s="4"/>
      <c r="AK25" s="4"/>
      <c r="AL25" s="4"/>
      <c r="AM25" s="4"/>
      <c r="AN25" s="1"/>
      <c r="AO25" s="66" t="s">
        <v>102</v>
      </c>
      <c r="AP25" s="37">
        <v>4</v>
      </c>
      <c r="AQ25" s="54">
        <v>12032</v>
      </c>
      <c r="AR25" s="67">
        <v>3</v>
      </c>
      <c r="AS25" s="44">
        <v>858</v>
      </c>
      <c r="AT25" s="28"/>
      <c r="AU25" s="28"/>
    </row>
    <row r="26" s="1" customFormat="1" spans="1:47">
      <c r="A26" s="1" t="s">
        <v>127</v>
      </c>
      <c r="B26" s="1" t="s">
        <v>101</v>
      </c>
      <c r="C26" s="1">
        <v>12</v>
      </c>
      <c r="D26" s="4"/>
      <c r="E26" s="4"/>
      <c r="F26" s="4"/>
      <c r="G26" s="4"/>
      <c r="H26" s="4"/>
      <c r="I26" s="4"/>
      <c r="J26" s="4">
        <v>9</v>
      </c>
      <c r="K26" s="4">
        <v>3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>
        <v>3</v>
      </c>
      <c r="X26" s="4"/>
      <c r="Y26" s="4"/>
      <c r="Z26" s="4">
        <v>3</v>
      </c>
      <c r="AA26" s="4"/>
      <c r="AB26" s="4"/>
      <c r="AC26" s="4"/>
      <c r="AD26" s="4"/>
      <c r="AE26" s="4">
        <v>3</v>
      </c>
      <c r="AF26" s="4"/>
      <c r="AG26" s="4"/>
      <c r="AH26" s="4"/>
      <c r="AI26" s="4"/>
      <c r="AJ26" s="4"/>
      <c r="AK26" s="4"/>
      <c r="AL26" s="4"/>
      <c r="AM26" s="4"/>
      <c r="AN26" s="1"/>
      <c r="AO26" s="66" t="s">
        <v>102</v>
      </c>
      <c r="AP26" s="1"/>
      <c r="AQ26" s="1"/>
      <c r="AR26" s="67">
        <v>3</v>
      </c>
      <c r="AT26" s="28" t="s">
        <v>102</v>
      </c>
      <c r="AU26" s="28">
        <v>1</v>
      </c>
    </row>
    <row r="27" s="1" customFormat="1" spans="1:47">
      <c r="A27" s="1" t="s">
        <v>128</v>
      </c>
      <c r="B27" s="1" t="s">
        <v>101</v>
      </c>
      <c r="C27" s="1">
        <v>12</v>
      </c>
      <c r="D27" s="4"/>
      <c r="E27" s="4"/>
      <c r="F27" s="4"/>
      <c r="G27" s="4"/>
      <c r="H27" s="4"/>
      <c r="I27" s="4"/>
      <c r="J27" s="4">
        <v>9</v>
      </c>
      <c r="K27" s="4">
        <v>3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>
        <v>3</v>
      </c>
      <c r="X27" s="4"/>
      <c r="Y27" s="4"/>
      <c r="Z27" s="4">
        <v>3</v>
      </c>
      <c r="AA27" s="4"/>
      <c r="AB27" s="4"/>
      <c r="AC27" s="4"/>
      <c r="AD27" s="4"/>
      <c r="AE27" s="4">
        <v>3</v>
      </c>
      <c r="AF27" s="4"/>
      <c r="AG27" s="4"/>
      <c r="AH27" s="4"/>
      <c r="AI27" s="4"/>
      <c r="AJ27" s="4"/>
      <c r="AK27" s="4"/>
      <c r="AL27" s="4"/>
      <c r="AM27" s="4"/>
      <c r="AN27" s="1"/>
      <c r="AO27" s="66" t="s">
        <v>102</v>
      </c>
      <c r="AP27" s="1"/>
      <c r="AQ27" s="1"/>
      <c r="AR27" s="67">
        <v>3</v>
      </c>
      <c r="AT27" s="28"/>
      <c r="AU27" s="28"/>
    </row>
    <row r="28" s="1" customFormat="1" spans="1:47">
      <c r="A28" s="1" t="s">
        <v>129</v>
      </c>
      <c r="B28" s="1" t="s">
        <v>101</v>
      </c>
      <c r="C28" s="1">
        <v>12</v>
      </c>
      <c r="D28" s="4"/>
      <c r="E28" s="4"/>
      <c r="F28" s="4"/>
      <c r="G28" s="4"/>
      <c r="H28" s="4"/>
      <c r="I28" s="4"/>
      <c r="J28" s="4">
        <v>9</v>
      </c>
      <c r="K28" s="4">
        <v>3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>
        <v>3</v>
      </c>
      <c r="X28" s="4"/>
      <c r="Y28" s="4"/>
      <c r="Z28" s="4">
        <v>3</v>
      </c>
      <c r="AA28" s="4"/>
      <c r="AB28" s="4"/>
      <c r="AC28" s="4"/>
      <c r="AD28" s="4"/>
      <c r="AE28" s="4">
        <v>3</v>
      </c>
      <c r="AF28" s="4"/>
      <c r="AG28" s="4"/>
      <c r="AH28" s="4"/>
      <c r="AI28" s="4"/>
      <c r="AJ28" s="4"/>
      <c r="AK28" s="4"/>
      <c r="AL28" s="4"/>
      <c r="AM28" s="4"/>
      <c r="AN28" s="1"/>
      <c r="AO28" s="66" t="s">
        <v>102</v>
      </c>
      <c r="AP28" s="1"/>
      <c r="AQ28" s="1"/>
      <c r="AR28" s="67">
        <v>3</v>
      </c>
      <c r="AT28" s="28"/>
      <c r="AU28" s="28"/>
    </row>
    <row r="29" s="1" customFormat="1" spans="1:47">
      <c r="A29" s="1" t="s">
        <v>130</v>
      </c>
      <c r="B29" s="1" t="s">
        <v>101</v>
      </c>
      <c r="C29" s="1">
        <v>12</v>
      </c>
      <c r="D29" s="4"/>
      <c r="E29" s="4"/>
      <c r="F29" s="4"/>
      <c r="G29" s="4"/>
      <c r="H29" s="4"/>
      <c r="I29" s="4"/>
      <c r="J29" s="4">
        <v>9</v>
      </c>
      <c r="K29" s="4">
        <v>3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>
        <v>3</v>
      </c>
      <c r="X29" s="4"/>
      <c r="Y29" s="4"/>
      <c r="Z29" s="4">
        <v>3</v>
      </c>
      <c r="AA29" s="4"/>
      <c r="AB29" s="4"/>
      <c r="AC29" s="4"/>
      <c r="AD29" s="4"/>
      <c r="AE29" s="4">
        <v>3</v>
      </c>
      <c r="AF29" s="4"/>
      <c r="AG29" s="4"/>
      <c r="AH29" s="4"/>
      <c r="AI29" s="4"/>
      <c r="AJ29" s="4"/>
      <c r="AK29" s="4"/>
      <c r="AL29" s="4"/>
      <c r="AM29" s="4"/>
      <c r="AN29" s="1"/>
      <c r="AO29" s="66" t="s">
        <v>102</v>
      </c>
      <c r="AP29" s="1"/>
      <c r="AQ29" s="1"/>
      <c r="AR29" s="67">
        <v>3</v>
      </c>
      <c r="AT29" s="28"/>
      <c r="AU29" s="28"/>
    </row>
    <row r="30" s="1" customFormat="1" spans="1:47">
      <c r="A30" s="1" t="s">
        <v>131</v>
      </c>
      <c r="B30" s="1" t="s">
        <v>101</v>
      </c>
      <c r="C30" s="1">
        <v>12</v>
      </c>
      <c r="D30" s="4"/>
      <c r="E30" s="4"/>
      <c r="F30" s="4"/>
      <c r="G30" s="4"/>
      <c r="H30" s="4"/>
      <c r="I30" s="4"/>
      <c r="J30" s="4">
        <v>9</v>
      </c>
      <c r="K30" s="4">
        <v>3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>
        <v>3</v>
      </c>
      <c r="X30" s="4"/>
      <c r="Y30" s="4"/>
      <c r="Z30" s="4">
        <v>3</v>
      </c>
      <c r="AA30" s="4"/>
      <c r="AB30" s="4"/>
      <c r="AC30" s="4"/>
      <c r="AD30" s="4"/>
      <c r="AE30" s="4">
        <v>3</v>
      </c>
      <c r="AF30" s="4"/>
      <c r="AG30" s="4"/>
      <c r="AH30" s="4"/>
      <c r="AI30" s="4"/>
      <c r="AJ30" s="4"/>
      <c r="AK30" s="4"/>
      <c r="AL30" s="4"/>
      <c r="AM30" s="4"/>
      <c r="AN30" s="1"/>
      <c r="AO30" s="66" t="s">
        <v>102</v>
      </c>
      <c r="AP30" s="1"/>
      <c r="AQ30" s="1"/>
      <c r="AR30" s="67">
        <v>3</v>
      </c>
      <c r="AT30" s="28" t="s">
        <v>102</v>
      </c>
      <c r="AU30" s="28">
        <v>1</v>
      </c>
    </row>
    <row r="31" s="1" customFormat="1" spans="1:47">
      <c r="A31" s="1" t="s">
        <v>132</v>
      </c>
      <c r="B31" s="1" t="s">
        <v>101</v>
      </c>
      <c r="C31" s="1">
        <v>12</v>
      </c>
      <c r="D31" s="4"/>
      <c r="E31" s="4"/>
      <c r="F31" s="4"/>
      <c r="G31" s="4"/>
      <c r="H31" s="4"/>
      <c r="I31" s="4"/>
      <c r="J31" s="4">
        <v>9</v>
      </c>
      <c r="K31" s="4">
        <v>3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>
        <v>3</v>
      </c>
      <c r="X31" s="4"/>
      <c r="Y31" s="4"/>
      <c r="Z31" s="4">
        <v>3</v>
      </c>
      <c r="AA31" s="4"/>
      <c r="AB31" s="4"/>
      <c r="AC31" s="4"/>
      <c r="AD31" s="4"/>
      <c r="AE31" s="4">
        <v>3</v>
      </c>
      <c r="AF31" s="4"/>
      <c r="AG31" s="4"/>
      <c r="AH31" s="4"/>
      <c r="AI31" s="4"/>
      <c r="AJ31" s="4"/>
      <c r="AK31" s="4"/>
      <c r="AL31" s="4"/>
      <c r="AM31" s="4"/>
      <c r="AN31" s="1"/>
      <c r="AO31" s="66" t="s">
        <v>102</v>
      </c>
      <c r="AP31" s="1"/>
      <c r="AQ31" s="1"/>
      <c r="AR31" s="67">
        <v>3</v>
      </c>
      <c r="AT31" s="28"/>
      <c r="AU31" s="28"/>
    </row>
    <row r="32" s="1" customFormat="1" spans="1:47">
      <c r="A32" s="1" t="s">
        <v>133</v>
      </c>
      <c r="B32" s="1" t="s">
        <v>101</v>
      </c>
      <c r="C32" s="1">
        <v>12</v>
      </c>
      <c r="D32" s="4"/>
      <c r="E32" s="4"/>
      <c r="F32" s="4"/>
      <c r="G32" s="4"/>
      <c r="H32" s="4"/>
      <c r="I32" s="4"/>
      <c r="J32" s="4">
        <v>9</v>
      </c>
      <c r="K32" s="4">
        <v>3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>
        <v>3</v>
      </c>
      <c r="X32" s="4"/>
      <c r="Y32" s="4"/>
      <c r="Z32" s="4">
        <v>3</v>
      </c>
      <c r="AA32" s="4"/>
      <c r="AB32" s="4"/>
      <c r="AC32" s="4"/>
      <c r="AD32" s="4"/>
      <c r="AE32" s="4">
        <v>3</v>
      </c>
      <c r="AF32" s="4"/>
      <c r="AG32" s="4"/>
      <c r="AH32" s="4"/>
      <c r="AI32" s="4"/>
      <c r="AJ32" s="4"/>
      <c r="AK32" s="4"/>
      <c r="AL32" s="4"/>
      <c r="AM32" s="4"/>
      <c r="AN32" s="1"/>
      <c r="AO32" s="66" t="s">
        <v>102</v>
      </c>
      <c r="AP32" s="1"/>
      <c r="AQ32" s="1"/>
      <c r="AR32" s="67">
        <v>3</v>
      </c>
      <c r="AT32" s="28"/>
      <c r="AU32" s="28"/>
    </row>
    <row r="33" s="10" customFormat="1" ht="14.4" customHeight="1" spans="1:47">
      <c r="A33" s="10" t="s">
        <v>134</v>
      </c>
      <c r="B33" s="10" t="s">
        <v>106</v>
      </c>
      <c r="C33" s="10">
        <v>8</v>
      </c>
      <c r="D33" s="4"/>
      <c r="E33" s="4"/>
      <c r="F33" s="4"/>
      <c r="G33" s="4"/>
      <c r="H33" s="4"/>
      <c r="I33" s="4"/>
      <c r="J33" s="4">
        <v>6</v>
      </c>
      <c r="K33" s="4"/>
      <c r="L33" s="4"/>
      <c r="M33" s="4"/>
      <c r="N33" s="4"/>
      <c r="O33" s="4"/>
      <c r="P33" s="4"/>
      <c r="Q33" s="4"/>
      <c r="R33" s="4"/>
      <c r="S33" s="4">
        <v>2</v>
      </c>
      <c r="T33" s="4"/>
      <c r="U33" s="4"/>
      <c r="V33" s="4"/>
      <c r="W33" s="4">
        <v>2</v>
      </c>
      <c r="X33" s="4"/>
      <c r="Y33" s="4"/>
      <c r="Z33" s="4">
        <v>2</v>
      </c>
      <c r="AA33" s="4"/>
      <c r="AB33" s="4"/>
      <c r="AC33" s="4"/>
      <c r="AD33" s="4"/>
      <c r="AE33" s="4"/>
      <c r="AF33" s="4">
        <v>2</v>
      </c>
      <c r="AG33" s="4"/>
      <c r="AH33" s="4"/>
      <c r="AI33" s="4"/>
      <c r="AJ33" s="4"/>
      <c r="AK33" s="4"/>
      <c r="AL33" s="4"/>
      <c r="AM33" s="4"/>
      <c r="AN33" s="10"/>
      <c r="AO33" s="66" t="s">
        <v>102</v>
      </c>
      <c r="AP33" s="10"/>
      <c r="AQ33" s="10"/>
      <c r="AR33" s="67">
        <v>2</v>
      </c>
      <c r="AT33" s="28"/>
      <c r="AU33" s="28"/>
    </row>
    <row r="34" s="1" customFormat="1" spans="1:47">
      <c r="A34" s="1" t="s">
        <v>135</v>
      </c>
      <c r="B34" s="1" t="s">
        <v>114</v>
      </c>
      <c r="C34" s="1">
        <v>8</v>
      </c>
      <c r="D34" s="4"/>
      <c r="E34" s="4"/>
      <c r="F34" s="4"/>
      <c r="G34" s="4"/>
      <c r="H34" s="4"/>
      <c r="I34" s="4"/>
      <c r="J34" s="4">
        <v>2</v>
      </c>
      <c r="K34" s="4">
        <v>2</v>
      </c>
      <c r="L34" s="4"/>
      <c r="M34" s="4"/>
      <c r="N34" s="4"/>
      <c r="O34" s="4"/>
      <c r="P34" s="4">
        <v>2</v>
      </c>
      <c r="Q34" s="4"/>
      <c r="R34" s="4"/>
      <c r="S34" s="4"/>
      <c r="T34" s="4"/>
      <c r="U34" s="4">
        <v>2</v>
      </c>
      <c r="V34" s="4"/>
      <c r="W34" s="4">
        <v>2</v>
      </c>
      <c r="X34" s="4"/>
      <c r="Y34" s="4">
        <v>2</v>
      </c>
      <c r="Z34" s="4"/>
      <c r="AA34" s="4"/>
      <c r="AB34" s="4"/>
      <c r="AC34" s="4">
        <v>2</v>
      </c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1"/>
      <c r="AO34" s="66" t="s">
        <v>102</v>
      </c>
      <c r="AP34" s="1"/>
      <c r="AQ34" s="1"/>
      <c r="AR34" s="66">
        <v>2</v>
      </c>
      <c r="AT34" s="28"/>
      <c r="AU34" s="28"/>
    </row>
    <row r="35" s="1" customFormat="1" spans="1:47">
      <c r="A35" s="1" t="s">
        <v>136</v>
      </c>
      <c r="B35" s="1" t="s">
        <v>116</v>
      </c>
      <c r="C35" s="1">
        <v>8</v>
      </c>
      <c r="D35" s="4"/>
      <c r="E35" s="4"/>
      <c r="F35" s="4"/>
      <c r="G35" s="4"/>
      <c r="H35" s="4"/>
      <c r="I35" s="4"/>
      <c r="J35" s="4">
        <v>2</v>
      </c>
      <c r="K35" s="4">
        <v>2</v>
      </c>
      <c r="L35" s="4"/>
      <c r="M35" s="4"/>
      <c r="N35" s="4"/>
      <c r="O35" s="4"/>
      <c r="P35" s="4">
        <v>2</v>
      </c>
      <c r="Q35" s="4"/>
      <c r="R35" s="4"/>
      <c r="S35" s="4"/>
      <c r="T35" s="4"/>
      <c r="U35" s="4">
        <v>2</v>
      </c>
      <c r="V35" s="4"/>
      <c r="W35" s="4">
        <v>2</v>
      </c>
      <c r="X35" s="4"/>
      <c r="Y35" s="4">
        <v>2</v>
      </c>
      <c r="Z35" s="4"/>
      <c r="AA35" s="4"/>
      <c r="AB35" s="4"/>
      <c r="AC35" s="4">
        <v>2</v>
      </c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1"/>
      <c r="AO35" s="66" t="s">
        <v>102</v>
      </c>
      <c r="AP35" s="1"/>
      <c r="AQ35" s="1"/>
      <c r="AR35" s="66">
        <v>2</v>
      </c>
      <c r="AT35" s="28" t="s">
        <v>102</v>
      </c>
      <c r="AU35" s="28">
        <v>1</v>
      </c>
    </row>
    <row r="36" s="1" customFormat="1" spans="1:47">
      <c r="A36" s="8" t="s">
        <v>146</v>
      </c>
      <c r="B36" s="1" t="s">
        <v>147</v>
      </c>
      <c r="C36" s="1">
        <v>7</v>
      </c>
      <c r="D36" s="4"/>
      <c r="E36" s="4"/>
      <c r="F36" s="4"/>
      <c r="G36" s="4">
        <v>7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1"/>
      <c r="AO36" s="66" t="s">
        <v>102</v>
      </c>
      <c r="AP36" s="45"/>
      <c r="AQ36" s="45"/>
      <c r="AR36" s="67">
        <v>1</v>
      </c>
      <c r="AT36" s="28"/>
      <c r="AU36" s="28"/>
    </row>
    <row r="37" spans="1:47">
      <c r="D37" s="2">
        <f t="shared" ref="D37:AM37" si="0">SUM(D6:D36)</f>
        <v>0</v>
      </c>
      <c r="E37" s="2">
        <f t="shared" si="0"/>
        <v>0</v>
      </c>
      <c r="F37" s="2">
        <f t="shared" si="0"/>
        <v>0</v>
      </c>
      <c r="G37" s="2">
        <f t="shared" si="0"/>
        <v>7</v>
      </c>
      <c r="H37" s="2">
        <f t="shared" si="0"/>
        <v>0</v>
      </c>
      <c r="I37" s="2">
        <f t="shared" si="0"/>
        <v>0</v>
      </c>
      <c r="J37" s="2">
        <f t="shared" si="0"/>
        <v>219</v>
      </c>
      <c r="K37" s="2">
        <f t="shared" si="0"/>
        <v>69</v>
      </c>
      <c r="L37" s="2">
        <f t="shared" si="0"/>
        <v>0</v>
      </c>
      <c r="M37" s="2">
        <f t="shared" si="0"/>
        <v>0</v>
      </c>
      <c r="N37" s="2">
        <f t="shared" si="0"/>
        <v>0</v>
      </c>
      <c r="O37" s="2">
        <f t="shared" si="0"/>
        <v>0</v>
      </c>
      <c r="P37" s="2">
        <f t="shared" si="0"/>
        <v>8</v>
      </c>
      <c r="Q37" s="2">
        <f t="shared" si="0"/>
        <v>0</v>
      </c>
      <c r="R37" s="2">
        <f t="shared" si="0"/>
        <v>0</v>
      </c>
      <c r="S37" s="2">
        <f t="shared" si="0"/>
        <v>12</v>
      </c>
      <c r="T37" s="2">
        <f t="shared" si="0"/>
        <v>0</v>
      </c>
      <c r="U37" s="2">
        <f t="shared" si="0"/>
        <v>8</v>
      </c>
      <c r="V37" s="2">
        <f t="shared" si="0"/>
        <v>0</v>
      </c>
      <c r="W37" s="2">
        <f t="shared" si="0"/>
        <v>79</v>
      </c>
      <c r="X37" s="2">
        <f t="shared" si="0"/>
        <v>0</v>
      </c>
      <c r="Y37" s="2">
        <f t="shared" si="0"/>
        <v>8</v>
      </c>
      <c r="Z37" s="2">
        <f t="shared" si="0"/>
        <v>71</v>
      </c>
      <c r="AA37" s="2">
        <f t="shared" si="0"/>
        <v>0</v>
      </c>
      <c r="AB37" s="2">
        <f t="shared" si="0"/>
        <v>0</v>
      </c>
      <c r="AC37" s="2">
        <f t="shared" si="0"/>
        <v>8</v>
      </c>
      <c r="AD37" s="2">
        <f t="shared" si="0"/>
        <v>0</v>
      </c>
      <c r="AE37" s="2">
        <f t="shared" si="0"/>
        <v>57</v>
      </c>
      <c r="AF37" s="2">
        <f t="shared" si="0"/>
        <v>14</v>
      </c>
      <c r="AG37" s="4"/>
      <c r="AH37" s="4"/>
      <c r="AI37" s="4"/>
      <c r="AJ37" s="4"/>
      <c r="AK37" s="4"/>
      <c r="AL37" s="4"/>
      <c r="AM37" s="4"/>
      <c r="AN37" s="1"/>
      <c r="AP37" s="45"/>
      <c r="AQ37" s="45"/>
      <c r="AR37" s="2">
        <f>SUM(AR6:AR36)</f>
        <v>80</v>
      </c>
      <c r="AS37" s="1"/>
      <c r="AT37" s="28"/>
      <c r="AU37" s="28"/>
    </row>
    <row r="38" spans="1:47">
      <c r="D38" s="2">
        <v>0</v>
      </c>
      <c r="E38" s="2">
        <v>0</v>
      </c>
      <c r="F38" s="2">
        <v>0</v>
      </c>
      <c r="G38" s="2">
        <v>7</v>
      </c>
      <c r="H38" s="2">
        <v>0</v>
      </c>
      <c r="I38" s="2">
        <v>0</v>
      </c>
      <c r="J38" s="2">
        <v>219</v>
      </c>
      <c r="K38" s="2">
        <v>69</v>
      </c>
      <c r="L38" s="2">
        <v>0</v>
      </c>
      <c r="M38" s="2">
        <v>0</v>
      </c>
      <c r="N38" s="2">
        <v>0</v>
      </c>
      <c r="O38" s="2">
        <v>0</v>
      </c>
      <c r="P38" s="2">
        <v>8</v>
      </c>
      <c r="Q38" s="2">
        <v>0</v>
      </c>
      <c r="R38" s="2">
        <v>0</v>
      </c>
      <c r="S38" s="2">
        <v>12</v>
      </c>
      <c r="T38" s="2">
        <v>0</v>
      </c>
      <c r="U38" s="2">
        <v>8</v>
      </c>
      <c r="V38" s="2">
        <v>0</v>
      </c>
      <c r="W38" s="2">
        <v>79</v>
      </c>
      <c r="X38" s="2">
        <v>0</v>
      </c>
      <c r="Y38" s="2">
        <v>8</v>
      </c>
      <c r="Z38" s="2">
        <v>71</v>
      </c>
      <c r="AA38" s="2">
        <v>0</v>
      </c>
      <c r="AB38" s="2">
        <v>0</v>
      </c>
      <c r="AC38" s="2">
        <v>8</v>
      </c>
      <c r="AD38" s="2">
        <v>0</v>
      </c>
      <c r="AE38" s="2">
        <v>57</v>
      </c>
      <c r="AF38" s="2">
        <v>14</v>
      </c>
      <c r="AG38" s="4"/>
      <c r="AH38" s="4"/>
      <c r="AI38" s="4"/>
      <c r="AJ38" s="4"/>
      <c r="AK38" s="4"/>
      <c r="AL38" s="4"/>
      <c r="AM38" s="4"/>
      <c r="AN38" s="1"/>
      <c r="AP38" s="45"/>
      <c r="AQ38" s="45"/>
      <c r="AS38" s="1"/>
      <c r="AT38" s="28"/>
      <c r="AU38" s="28"/>
    </row>
    <row r="39" spans="1:47">
      <c r="A39" s="31" t="s">
        <v>208</v>
      </c>
      <c r="B39" s="32"/>
      <c r="C39" s="32"/>
      <c r="D39" s="17"/>
      <c r="E39" s="17"/>
      <c r="AG39" s="4"/>
      <c r="AH39" s="4"/>
      <c r="AI39" s="4"/>
      <c r="AJ39" s="4"/>
      <c r="AK39" s="4"/>
      <c r="AL39" s="4"/>
      <c r="AM39" s="4"/>
      <c r="AN39" s="1"/>
      <c r="AP39" s="45"/>
      <c r="AQ39" s="45"/>
      <c r="AS39" s="1"/>
      <c r="AT39" s="28"/>
      <c r="AU39" s="28"/>
    </row>
    <row r="40" spans="1:47">
      <c r="A40" s="31" t="s">
        <v>209</v>
      </c>
      <c r="B40" s="31">
        <f>AR37</f>
        <v>80</v>
      </c>
      <c r="C40" s="31"/>
      <c r="D40" s="17"/>
      <c r="E40" s="17"/>
      <c r="AG40" s="4"/>
      <c r="AH40" s="4"/>
      <c r="AI40" s="4"/>
      <c r="AJ40" s="4"/>
      <c r="AK40" s="4"/>
      <c r="AL40" s="4"/>
      <c r="AM40" s="4"/>
      <c r="AN40" s="1"/>
      <c r="AP40" s="45"/>
      <c r="AQ40" s="45"/>
      <c r="AS40" s="1"/>
      <c r="AT40" s="28" t="s">
        <v>102</v>
      </c>
      <c r="AU40" s="28">
        <v>1</v>
      </c>
    </row>
    <row r="41" spans="1:47">
      <c r="A41" s="31" t="s">
        <v>210</v>
      </c>
      <c r="B41" s="31" t="s">
        <v>102</v>
      </c>
      <c r="C41" s="31"/>
      <c r="D41" s="17">
        <v>80</v>
      </c>
      <c r="E41" s="13"/>
      <c r="AG41" s="4"/>
      <c r="AH41" s="4"/>
      <c r="AI41" s="4"/>
      <c r="AJ41" s="4"/>
      <c r="AK41" s="4"/>
      <c r="AL41" s="4"/>
      <c r="AM41" s="4"/>
      <c r="AN41" s="1"/>
      <c r="AP41" s="45"/>
      <c r="AQ41" s="45"/>
      <c r="AS41" s="1"/>
      <c r="AT41" s="28"/>
      <c r="AU41" s="28"/>
    </row>
    <row r="42" spans="1:47">
      <c r="A42" s="31"/>
      <c r="B42" s="31" t="s">
        <v>103</v>
      </c>
      <c r="C42" s="31"/>
      <c r="D42" s="17">
        <v>0</v>
      </c>
      <c r="E42" s="13"/>
      <c r="AG42" s="4"/>
      <c r="AH42" s="4"/>
      <c r="AI42" s="4"/>
      <c r="AJ42" s="4"/>
      <c r="AK42" s="4"/>
      <c r="AL42" s="4"/>
      <c r="AM42" s="4"/>
      <c r="AN42" s="1"/>
      <c r="AP42" s="45"/>
      <c r="AQ42" s="45"/>
      <c r="AS42" s="1"/>
      <c r="AT42" s="28"/>
      <c r="AU42" s="28"/>
    </row>
    <row r="43" spans="1:47">
      <c r="A43" s="31" t="s">
        <v>211</v>
      </c>
      <c r="B43" s="31">
        <v>40</v>
      </c>
      <c r="C43" s="17"/>
      <c r="D43" s="17"/>
      <c r="E43" s="17"/>
      <c r="AG43" s="4"/>
      <c r="AH43" s="4"/>
      <c r="AI43" s="4"/>
      <c r="AJ43" s="4"/>
      <c r="AK43" s="4"/>
      <c r="AL43" s="4"/>
      <c r="AM43" s="4"/>
      <c r="AN43" s="1"/>
      <c r="AP43" s="68"/>
      <c r="AQ43" s="68"/>
      <c r="AS43" s="1"/>
      <c r="AT43" s="28"/>
      <c r="AU43" s="28"/>
    </row>
    <row r="44" spans="1:47">
      <c r="A44" s="31" t="s">
        <v>212</v>
      </c>
      <c r="B44" s="31" t="s">
        <v>213</v>
      </c>
      <c r="C44" s="31"/>
      <c r="D44" s="17">
        <v>40</v>
      </c>
      <c r="E44" s="33">
        <f>1.05*1.05*1.15*D44</f>
        <v>50.715</v>
      </c>
      <c r="AG44" s="4"/>
      <c r="AH44" s="4"/>
      <c r="AI44" s="4"/>
      <c r="AJ44" s="4"/>
      <c r="AK44" s="4"/>
      <c r="AL44" s="4"/>
      <c r="AM44" s="4"/>
      <c r="AN44" s="1"/>
      <c r="AP44" s="69"/>
      <c r="AQ44" s="69"/>
      <c r="AS44" s="1"/>
      <c r="AT44" s="28"/>
      <c r="AU44" s="28"/>
    </row>
    <row r="45" spans="1:47">
      <c r="A45" s="31"/>
      <c r="B45" s="31" t="s">
        <v>214</v>
      </c>
      <c r="C45" s="31"/>
      <c r="D45" s="17">
        <v>0</v>
      </c>
      <c r="E45" s="33">
        <f>1.05*1.05*0.65*D45</f>
        <v>0</v>
      </c>
      <c r="AG45" s="4"/>
      <c r="AH45" s="4"/>
      <c r="AI45" s="4"/>
      <c r="AJ45" s="4"/>
      <c r="AK45" s="4"/>
      <c r="AL45" s="4"/>
      <c r="AM45" s="4"/>
      <c r="AN45" s="1"/>
      <c r="AP45" s="45"/>
      <c r="AQ45" s="45"/>
      <c r="AS45" s="1"/>
      <c r="AT45" s="28" t="s">
        <v>102</v>
      </c>
      <c r="AU45" s="28">
        <v>1</v>
      </c>
    </row>
    <row r="46" spans="1:47">
      <c r="A46" s="31"/>
      <c r="B46" s="31" t="s">
        <v>215</v>
      </c>
      <c r="C46" s="31"/>
      <c r="D46" s="17">
        <v>0</v>
      </c>
      <c r="E46" s="33">
        <f>1.5*0.75*1.15*D46</f>
        <v>0</v>
      </c>
      <c r="AG46" s="4"/>
      <c r="AH46" s="4"/>
      <c r="AI46" s="4"/>
      <c r="AJ46" s="4"/>
      <c r="AK46" s="4"/>
      <c r="AL46" s="4"/>
      <c r="AM46" s="4"/>
      <c r="AN46" s="1"/>
      <c r="AP46" s="45"/>
      <c r="AQ46" s="45"/>
      <c r="AS46" s="1"/>
      <c r="AT46" s="28"/>
      <c r="AU46" s="28"/>
    </row>
    <row r="47" spans="1:47">
      <c r="A47" s="31"/>
      <c r="B47" s="31" t="s">
        <v>216</v>
      </c>
      <c r="C47" s="31"/>
      <c r="D47" s="17">
        <v>0</v>
      </c>
      <c r="E47" s="33">
        <f>1.5*0.75*0.65*D47</f>
        <v>0</v>
      </c>
      <c r="AG47" s="4"/>
      <c r="AH47" s="4"/>
      <c r="AI47" s="4"/>
      <c r="AJ47" s="4"/>
      <c r="AK47" s="4"/>
      <c r="AL47" s="4"/>
      <c r="AM47" s="4"/>
      <c r="AN47" s="1"/>
      <c r="AP47" s="45"/>
      <c r="AQ47" s="45"/>
      <c r="AS47" s="1"/>
      <c r="AT47" s="28"/>
      <c r="AU47" s="28"/>
    </row>
    <row r="48" spans="1:47">
      <c r="A48" s="31" t="s">
        <v>217</v>
      </c>
      <c r="B48" s="34">
        <f>SUBTOTAL(9,E44:E47)</f>
        <v>50.715</v>
      </c>
      <c r="C48" s="17"/>
      <c r="D48" s="17"/>
      <c r="E48" s="35"/>
      <c r="AG48" s="4"/>
      <c r="AH48" s="4"/>
      <c r="AI48" s="4"/>
      <c r="AJ48" s="4"/>
      <c r="AK48" s="4"/>
      <c r="AL48" s="4"/>
      <c r="AM48" s="4"/>
      <c r="AN48" s="1"/>
      <c r="AP48" s="45"/>
      <c r="AQ48" s="45"/>
      <c r="AS48" s="1"/>
      <c r="AT48" s="28"/>
      <c r="AU48" s="28"/>
    </row>
    <row r="49" spans="1:47">
      <c r="A49" s="31" t="s">
        <v>218</v>
      </c>
      <c r="B49" s="36">
        <v>18350.88</v>
      </c>
      <c r="C49" s="17"/>
      <c r="D49" s="17"/>
      <c r="E49" s="17"/>
      <c r="AG49" s="4"/>
      <c r="AH49" s="4"/>
      <c r="AI49" s="4"/>
      <c r="AJ49" s="4"/>
      <c r="AK49" s="4"/>
      <c r="AL49" s="4"/>
      <c r="AM49" s="4"/>
      <c r="AN49" s="1"/>
      <c r="AP49" s="45"/>
      <c r="AQ49" s="45"/>
      <c r="AS49" s="1"/>
      <c r="AT49" s="28" t="s">
        <v>102</v>
      </c>
      <c r="AU49" s="28">
        <v>1</v>
      </c>
    </row>
    <row r="50" spans="1:47">
      <c r="AG50" s="4"/>
      <c r="AH50" s="4"/>
      <c r="AI50" s="4"/>
      <c r="AJ50" s="4"/>
      <c r="AK50" s="4"/>
      <c r="AL50" s="4"/>
      <c r="AM50" s="4"/>
      <c r="AN50" s="1"/>
      <c r="AP50" s="45"/>
      <c r="AQ50" s="45"/>
      <c r="AS50" s="1"/>
      <c r="AT50" s="28"/>
      <c r="AU50" s="28"/>
    </row>
    <row r="51" spans="1:47">
      <c r="AG51" s="4"/>
      <c r="AH51" s="4"/>
      <c r="AI51" s="4"/>
      <c r="AJ51" s="4"/>
      <c r="AK51" s="4"/>
      <c r="AL51" s="4"/>
      <c r="AM51" s="4"/>
      <c r="AN51" s="1"/>
      <c r="AP51" s="45"/>
      <c r="AQ51" s="45"/>
      <c r="AS51" s="1"/>
      <c r="AT51" s="28"/>
      <c r="AU51" s="28"/>
    </row>
    <row r="52" spans="1:47">
      <c r="AG52" s="4"/>
      <c r="AH52" s="4"/>
      <c r="AI52" s="4"/>
      <c r="AJ52" s="4"/>
      <c r="AK52" s="4"/>
      <c r="AL52" s="4"/>
      <c r="AM52" s="4"/>
      <c r="AN52" s="1"/>
      <c r="AP52" s="45"/>
      <c r="AQ52" s="45"/>
      <c r="AS52" s="1"/>
      <c r="AT52" s="28"/>
      <c r="AU52" s="28"/>
    </row>
    <row r="53" spans="1:47">
      <c r="AG53" s="4"/>
      <c r="AH53" s="4"/>
      <c r="AI53" s="4"/>
      <c r="AJ53" s="4"/>
      <c r="AK53" s="4"/>
      <c r="AL53" s="4"/>
      <c r="AM53" s="4"/>
      <c r="AN53" s="1"/>
      <c r="AP53" s="45"/>
      <c r="AQ53" s="45"/>
      <c r="AS53" s="1"/>
      <c r="AT53" s="28" t="s">
        <v>103</v>
      </c>
      <c r="AU53" s="28">
        <v>1</v>
      </c>
    </row>
    <row r="54" spans="1:47">
      <c r="AG54" s="4"/>
      <c r="AH54" s="4"/>
      <c r="AI54" s="4"/>
      <c r="AJ54" s="4"/>
      <c r="AK54" s="4"/>
      <c r="AL54" s="4"/>
      <c r="AM54" s="4"/>
      <c r="AN54" s="1"/>
      <c r="AP54" s="45"/>
      <c r="AQ54" s="45"/>
      <c r="AS54" s="1"/>
      <c r="AT54" s="28"/>
      <c r="AU54" s="28"/>
    </row>
    <row r="55" spans="1:47">
      <c r="AG55" s="4"/>
      <c r="AH55" s="4"/>
      <c r="AI55" s="4"/>
      <c r="AJ55" s="4"/>
      <c r="AK55" s="4"/>
      <c r="AL55" s="4"/>
      <c r="AM55" s="4"/>
      <c r="AN55" s="1"/>
      <c r="AP55" s="45"/>
      <c r="AQ55" s="45"/>
      <c r="AS55" s="1"/>
      <c r="AT55" s="28"/>
      <c r="AU55" s="28"/>
    </row>
    <row r="56" spans="1:47">
      <c r="AG56" s="4"/>
      <c r="AH56" s="4"/>
      <c r="AI56" s="4"/>
      <c r="AJ56" s="4"/>
      <c r="AK56" s="4"/>
      <c r="AL56" s="4"/>
      <c r="AM56" s="4"/>
      <c r="AN56" s="1"/>
      <c r="AP56" s="45"/>
      <c r="AQ56" s="45"/>
      <c r="AS56" s="1"/>
      <c r="AT56" s="28"/>
      <c r="AU56" s="28"/>
    </row>
    <row r="57" spans="1:47">
      <c r="AG57" s="4"/>
      <c r="AH57" s="4"/>
      <c r="AI57" s="4"/>
      <c r="AJ57" s="4"/>
      <c r="AK57" s="4"/>
      <c r="AL57" s="4"/>
      <c r="AM57" s="4"/>
      <c r="AN57" s="1"/>
      <c r="AP57" s="45"/>
      <c r="AQ57" s="45"/>
      <c r="AS57" s="1"/>
      <c r="AT57" s="28" t="s">
        <v>102</v>
      </c>
      <c r="AU57" s="28">
        <v>1</v>
      </c>
    </row>
    <row r="58" spans="1:47">
      <c r="AG58" s="4"/>
      <c r="AH58" s="4"/>
      <c r="AI58" s="4"/>
      <c r="AJ58" s="4"/>
      <c r="AK58" s="4"/>
      <c r="AL58" s="4"/>
      <c r="AM58" s="4"/>
      <c r="AN58" s="1"/>
      <c r="AP58" s="45"/>
      <c r="AQ58" s="45"/>
      <c r="AS58" s="1"/>
      <c r="AT58" s="28"/>
      <c r="AU58" s="28"/>
    </row>
    <row r="59" spans="1:47">
      <c r="AG59" s="4"/>
      <c r="AH59" s="4"/>
      <c r="AI59" s="4"/>
      <c r="AJ59" s="4"/>
      <c r="AK59" s="4"/>
      <c r="AL59" s="4"/>
      <c r="AM59" s="4"/>
      <c r="AN59" s="1"/>
      <c r="AP59" s="45"/>
      <c r="AQ59" s="45"/>
      <c r="AS59" s="1"/>
      <c r="AT59" s="28"/>
      <c r="AU59" s="28"/>
    </row>
    <row r="60" spans="1:47">
      <c r="AG60" s="4"/>
      <c r="AH60" s="4"/>
      <c r="AI60" s="4"/>
      <c r="AJ60" s="4"/>
      <c r="AK60" s="4"/>
      <c r="AL60" s="4"/>
      <c r="AM60" s="4"/>
      <c r="AN60" s="1"/>
      <c r="AP60" s="45"/>
      <c r="AQ60" s="45"/>
      <c r="AS60" s="1"/>
      <c r="AT60" s="28"/>
      <c r="AU60" s="28"/>
    </row>
    <row r="61" spans="1:47">
      <c r="AG61" s="4"/>
      <c r="AH61" s="4"/>
      <c r="AI61" s="4"/>
      <c r="AJ61" s="4"/>
      <c r="AK61" s="4"/>
      <c r="AL61" s="4"/>
      <c r="AM61" s="4"/>
      <c r="AN61" s="1"/>
      <c r="AP61" s="45"/>
      <c r="AQ61" s="45"/>
      <c r="AS61" s="1"/>
      <c r="AT61" s="28" t="s">
        <v>102</v>
      </c>
      <c r="AU61" s="28">
        <v>1</v>
      </c>
    </row>
    <row r="62" spans="1:47">
      <c r="AG62" s="4"/>
      <c r="AH62" s="4"/>
      <c r="AI62" s="4"/>
      <c r="AJ62" s="4"/>
      <c r="AK62" s="4"/>
      <c r="AL62" s="4"/>
      <c r="AM62" s="4"/>
      <c r="AN62" s="1"/>
      <c r="AP62" s="45"/>
      <c r="AQ62" s="45"/>
      <c r="AS62" s="1"/>
      <c r="AT62" s="28"/>
      <c r="AU62" s="28"/>
    </row>
    <row r="63" spans="1:47">
      <c r="AG63" s="4"/>
      <c r="AH63" s="4"/>
      <c r="AI63" s="4"/>
      <c r="AJ63" s="4"/>
      <c r="AK63" s="4"/>
      <c r="AL63" s="4"/>
      <c r="AM63" s="4"/>
      <c r="AN63" s="1"/>
      <c r="AP63" s="45"/>
      <c r="AQ63" s="45"/>
      <c r="AS63" s="1"/>
      <c r="AT63" s="28"/>
      <c r="AU63" s="28"/>
    </row>
    <row r="64" spans="1:47">
      <c r="AG64" s="4"/>
      <c r="AH64" s="4"/>
      <c r="AI64" s="4"/>
      <c r="AJ64" s="4"/>
      <c r="AK64" s="4"/>
      <c r="AL64" s="4"/>
      <c r="AM64" s="4"/>
      <c r="AN64" s="1"/>
      <c r="AP64" s="45"/>
      <c r="AQ64" s="45"/>
      <c r="AS64" s="1"/>
      <c r="AT64" s="28"/>
      <c r="AU64" s="28"/>
    </row>
    <row r="65" spans="33:47">
      <c r="AG65" s="4"/>
      <c r="AH65" s="4"/>
      <c r="AI65" s="4"/>
      <c r="AJ65" s="4"/>
      <c r="AK65" s="4"/>
      <c r="AL65" s="4"/>
      <c r="AM65" s="4"/>
      <c r="AN65" s="1"/>
      <c r="AP65" s="68"/>
      <c r="AQ65" s="68"/>
      <c r="AS65" s="1"/>
      <c r="AT65" s="28"/>
      <c r="AU65" s="28"/>
    </row>
    <row r="66" spans="33:47">
      <c r="AG66" s="1"/>
      <c r="AH66" s="1"/>
      <c r="AI66" s="1"/>
      <c r="AJ66" s="1"/>
      <c r="AK66" s="1"/>
      <c r="AL66" s="1"/>
      <c r="AM66" s="1"/>
      <c r="AN66" s="1"/>
      <c r="AP66" s="68"/>
      <c r="AQ66" s="68"/>
      <c r="AS66" s="1"/>
      <c r="AT66" s="28" t="s">
        <v>102</v>
      </c>
      <c r="AU66" s="28">
        <v>1</v>
      </c>
    </row>
    <row r="67" spans="33:47">
      <c r="AG67" s="1"/>
      <c r="AH67" s="1"/>
      <c r="AI67" s="1"/>
      <c r="AJ67" s="1"/>
      <c r="AK67" s="1"/>
      <c r="AL67" s="1"/>
      <c r="AM67" s="1"/>
      <c r="AN67" s="1"/>
      <c r="AP67" s="68"/>
      <c r="AQ67" s="68"/>
      <c r="AS67" s="1"/>
      <c r="AT67" s="28"/>
      <c r="AU67" s="28"/>
    </row>
    <row r="68" spans="33:47">
      <c r="AG68" s="1"/>
      <c r="AH68" s="1"/>
      <c r="AI68" s="1"/>
      <c r="AJ68" s="1"/>
      <c r="AK68" s="1"/>
      <c r="AL68" s="1"/>
      <c r="AM68" s="1"/>
      <c r="AN68" s="1"/>
      <c r="AP68" s="68"/>
      <c r="AQ68" s="68"/>
      <c r="AS68" s="1"/>
      <c r="AT68" s="28"/>
      <c r="AU68" s="28"/>
    </row>
    <row r="69" spans="33:47">
      <c r="AG69" s="1"/>
      <c r="AH69" s="1"/>
      <c r="AI69" s="1"/>
      <c r="AJ69" s="1"/>
      <c r="AK69" s="1"/>
      <c r="AL69" s="1"/>
      <c r="AM69" s="1"/>
      <c r="AN69" s="1"/>
      <c r="AP69" s="45"/>
      <c r="AQ69" s="45"/>
      <c r="AS69" s="1"/>
      <c r="AT69" s="28"/>
      <c r="AU69" s="28"/>
    </row>
    <row r="70" spans="33:47">
      <c r="AG70" s="1"/>
      <c r="AH70" s="1"/>
      <c r="AI70" s="1"/>
      <c r="AJ70" s="1"/>
      <c r="AK70" s="1"/>
      <c r="AL70" s="1"/>
      <c r="AM70" s="1"/>
      <c r="AN70" s="1"/>
      <c r="AP70" s="68"/>
      <c r="AQ70" s="68"/>
      <c r="AS70" s="1"/>
      <c r="AT70" s="28" t="s">
        <v>102</v>
      </c>
      <c r="AU70" s="28">
        <v>1</v>
      </c>
    </row>
    <row r="71" spans="33:47">
      <c r="AG71" s="1"/>
      <c r="AH71" s="1"/>
      <c r="AI71" s="1"/>
      <c r="AJ71" s="1"/>
      <c r="AK71" s="1"/>
      <c r="AL71" s="1"/>
      <c r="AM71" s="1"/>
      <c r="AN71" s="1"/>
      <c r="AP71" s="68"/>
      <c r="AQ71" s="68"/>
      <c r="AS71" s="1"/>
      <c r="AT71" s="28"/>
      <c r="AU71" s="28"/>
    </row>
    <row r="72" spans="33:47">
      <c r="AG72" s="1"/>
      <c r="AH72" s="1"/>
      <c r="AI72" s="1"/>
      <c r="AJ72" s="1"/>
      <c r="AK72" s="1"/>
      <c r="AL72" s="1"/>
      <c r="AM72" s="1"/>
      <c r="AN72" s="1"/>
      <c r="AP72" s="68"/>
      <c r="AQ72" s="68"/>
      <c r="AS72" s="1"/>
      <c r="AT72" s="28"/>
      <c r="AU72" s="28"/>
    </row>
    <row r="73" spans="33:47">
      <c r="AG73" s="1"/>
      <c r="AH73" s="1"/>
      <c r="AI73" s="1"/>
      <c r="AJ73" s="1"/>
      <c r="AK73" s="1"/>
      <c r="AL73" s="1"/>
      <c r="AM73" s="1"/>
      <c r="AN73" s="1"/>
      <c r="AP73" s="68"/>
      <c r="AQ73" s="68"/>
      <c r="AS73" s="1"/>
      <c r="AT73" s="28"/>
      <c r="AU73" s="28"/>
    </row>
    <row r="74" spans="33:47">
      <c r="AG74" s="1"/>
      <c r="AH74" s="1"/>
      <c r="AI74" s="1"/>
      <c r="AJ74" s="1"/>
      <c r="AK74" s="1"/>
      <c r="AL74" s="1"/>
      <c r="AM74" s="1"/>
      <c r="AN74" s="1"/>
      <c r="AP74" s="68"/>
      <c r="AQ74" s="68"/>
      <c r="AS74" s="1"/>
      <c r="AT74" s="28"/>
      <c r="AU74" s="28"/>
    </row>
    <row r="75" spans="33:47">
      <c r="AG75" s="1"/>
      <c r="AH75" s="1"/>
      <c r="AI75" s="1"/>
      <c r="AJ75" s="1"/>
      <c r="AK75" s="1"/>
      <c r="AL75" s="1"/>
      <c r="AM75" s="1"/>
      <c r="AN75" s="1"/>
      <c r="AP75" s="68"/>
      <c r="AQ75" s="68"/>
      <c r="AS75" s="1"/>
      <c r="AT75" s="28"/>
      <c r="AU75" s="28"/>
    </row>
    <row r="76" spans="33:47">
      <c r="AG76" s="1"/>
      <c r="AH76" s="1"/>
      <c r="AI76" s="1"/>
      <c r="AJ76" s="1"/>
      <c r="AK76" s="1"/>
      <c r="AL76" s="1"/>
      <c r="AM76" s="1"/>
      <c r="AN76" s="1"/>
      <c r="AP76" s="68"/>
      <c r="AQ76" s="68"/>
      <c r="AS76" s="1"/>
      <c r="AT76" s="28" t="s">
        <v>102</v>
      </c>
      <c r="AU76" s="28">
        <v>1</v>
      </c>
    </row>
    <row r="77" spans="33:47">
      <c r="AG77" s="1"/>
      <c r="AH77" s="1"/>
      <c r="AI77" s="1"/>
      <c r="AJ77" s="1"/>
      <c r="AK77" s="1"/>
      <c r="AL77" s="1"/>
      <c r="AM77" s="1"/>
      <c r="AN77" s="1"/>
      <c r="AP77" s="68"/>
      <c r="AQ77" s="68"/>
      <c r="AS77" s="1"/>
      <c r="AT77" s="28"/>
      <c r="AU77" s="28"/>
    </row>
    <row r="78" spans="33:47">
      <c r="AG78" s="1"/>
      <c r="AH78" s="1"/>
      <c r="AI78" s="1"/>
      <c r="AJ78" s="1"/>
      <c r="AK78" s="1"/>
      <c r="AL78" s="1"/>
      <c r="AM78" s="1"/>
      <c r="AN78" s="1"/>
      <c r="AP78" s="68"/>
      <c r="AQ78" s="68"/>
      <c r="AS78" s="1"/>
      <c r="AT78" s="28"/>
      <c r="AU78" s="28"/>
    </row>
    <row r="79" spans="33:47">
      <c r="AG79" s="1"/>
      <c r="AH79" s="1"/>
      <c r="AI79" s="1"/>
      <c r="AJ79" s="1"/>
      <c r="AK79" s="1"/>
      <c r="AL79" s="1"/>
      <c r="AM79" s="1"/>
      <c r="AN79" s="1"/>
      <c r="AP79" s="68"/>
      <c r="AQ79" s="68"/>
      <c r="AS79" s="1"/>
      <c r="AT79" s="28"/>
      <c r="AU79" s="28"/>
    </row>
    <row r="80" spans="33:47">
      <c r="AG80" s="1"/>
      <c r="AH80" s="1"/>
      <c r="AI80" s="1"/>
      <c r="AJ80" s="1"/>
      <c r="AK80" s="1"/>
      <c r="AL80" s="1"/>
      <c r="AM80" s="1"/>
      <c r="AN80" s="1"/>
      <c r="AP80" s="68"/>
      <c r="AQ80" s="68"/>
      <c r="AS80" s="1"/>
      <c r="AT80" s="28" t="s">
        <v>102</v>
      </c>
      <c r="AU80" s="28">
        <v>1</v>
      </c>
    </row>
    <row r="81" spans="33:47">
      <c r="AG81" s="1"/>
      <c r="AH81" s="1"/>
      <c r="AI81" s="1"/>
      <c r="AJ81" s="1"/>
      <c r="AK81" s="1"/>
      <c r="AL81" s="1"/>
      <c r="AM81" s="1"/>
      <c r="AN81" s="1"/>
      <c r="AP81" s="68"/>
      <c r="AQ81" s="68"/>
      <c r="AS81" s="1"/>
      <c r="AT81" s="28"/>
      <c r="AU81" s="28"/>
    </row>
    <row r="82" spans="33:47">
      <c r="AG82" s="1"/>
      <c r="AH82" s="1"/>
      <c r="AI82" s="1"/>
      <c r="AJ82" s="1"/>
      <c r="AK82" s="1"/>
      <c r="AL82" s="1"/>
      <c r="AM82" s="1"/>
      <c r="AN82" s="1"/>
      <c r="AP82" s="68"/>
      <c r="AQ82" s="68"/>
      <c r="AS82" s="1"/>
      <c r="AT82" s="28"/>
      <c r="AU82" s="28"/>
    </row>
    <row r="83" spans="33:47">
      <c r="AG83" s="1"/>
      <c r="AH83" s="1"/>
      <c r="AI83" s="1"/>
      <c r="AJ83" s="1"/>
      <c r="AK83" s="1"/>
      <c r="AL83" s="1"/>
      <c r="AM83" s="1"/>
      <c r="AN83"/>
      <c r="AP83" s="70"/>
      <c r="AQ83" s="70"/>
      <c r="AS83" s="47"/>
      <c r="AT83" s="28"/>
      <c r="AU83" s="28"/>
    </row>
    <row r="84" spans="33:47">
      <c r="AG84" s="1"/>
      <c r="AH84" s="1"/>
      <c r="AI84" s="1"/>
      <c r="AJ84" s="1"/>
      <c r="AK84" s="1"/>
      <c r="AL84" s="1"/>
      <c r="AM84" s="1"/>
      <c r="AN84"/>
      <c r="AP84" s="70"/>
      <c r="AQ84" s="70"/>
      <c r="AS84" s="47"/>
      <c r="AT84" s="28" t="s">
        <v>102</v>
      </c>
      <c r="AU84" s="28">
        <v>1</v>
      </c>
    </row>
    <row r="85" spans="33:47">
      <c r="AG85" s="1"/>
      <c r="AH85" s="1"/>
      <c r="AI85" s="1"/>
      <c r="AJ85" s="1"/>
      <c r="AK85" s="1"/>
      <c r="AL85" s="1"/>
      <c r="AM85" s="1"/>
      <c r="AN85"/>
      <c r="AP85" s="70"/>
      <c r="AQ85" s="70"/>
      <c r="AS85" s="47"/>
      <c r="AT85" s="28"/>
      <c r="AU85" s="28"/>
    </row>
    <row r="86" spans="33:47">
      <c r="AG86" s="1"/>
      <c r="AH86" s="1"/>
      <c r="AI86" s="1"/>
      <c r="AJ86" s="1"/>
      <c r="AK86" s="1"/>
      <c r="AL86" s="1"/>
      <c r="AM86" s="1"/>
      <c r="AN86"/>
      <c r="AP86" s="70"/>
      <c r="AQ86" s="70"/>
      <c r="AS86" s="47"/>
      <c r="AT86" s="28"/>
      <c r="AU86" s="28"/>
    </row>
    <row r="87" spans="33:47">
      <c r="AG87" s="1"/>
      <c r="AH87" s="1"/>
      <c r="AI87" s="1"/>
      <c r="AJ87" s="1"/>
      <c r="AK87" s="1"/>
      <c r="AL87" s="1"/>
      <c r="AM87" s="1"/>
      <c r="AN87"/>
      <c r="AP87" s="70"/>
      <c r="AQ87" s="70"/>
      <c r="AS87" s="47"/>
      <c r="AT87" s="28"/>
      <c r="AU87" s="28"/>
    </row>
    <row r="88" spans="33:47">
      <c r="AS88" s="2">
        <f>SUM(AS6:AS87)</f>
        <v>16502</v>
      </c>
      <c r="AU88" s="2">
        <f>SUM(AU6:AU87)</f>
        <v>19</v>
      </c>
    </row>
  </sheetData>
  <autoFilter xmlns:etc="http://www.wps.cn/officeDocument/2017/etCustomData" ref="AO1:AR49" etc:filterBottomFollowUsedRange="0">
    <extLst/>
  </autoFilter>
  <mergeCells count="55">
    <mergeCell ref="B41:C41"/>
    <mergeCell ref="B42:C42"/>
    <mergeCell ref="B44:C44"/>
    <mergeCell ref="B45:C45"/>
    <mergeCell ref="B46:C46"/>
    <mergeCell ref="B47:C47"/>
    <mergeCell ref="A1:A3"/>
    <mergeCell ref="B1:B3"/>
    <mergeCell ref="C1:C3"/>
    <mergeCell ref="AN1:AN3"/>
    <mergeCell ref="AO1:AO3"/>
    <mergeCell ref="AP1:AP3"/>
    <mergeCell ref="AQ1:AQ3"/>
    <mergeCell ref="AR1:AR3"/>
    <mergeCell ref="AS1:AS3"/>
    <mergeCell ref="AT1:AT3"/>
    <mergeCell ref="AT6:AT7"/>
    <mergeCell ref="AT8:AT12"/>
    <mergeCell ref="AT13:AT19"/>
    <mergeCell ref="AT20:AT23"/>
    <mergeCell ref="AT24:AT25"/>
    <mergeCell ref="AT26:AT29"/>
    <mergeCell ref="AT30:AT34"/>
    <mergeCell ref="AT35:AT39"/>
    <mergeCell ref="AT40:AT44"/>
    <mergeCell ref="AT45:AT48"/>
    <mergeCell ref="AT49:AT52"/>
    <mergeCell ref="AT53:AT56"/>
    <mergeCell ref="AT57:AT60"/>
    <mergeCell ref="AT61:AT65"/>
    <mergeCell ref="AT66:AT69"/>
    <mergeCell ref="AT70:AT75"/>
    <mergeCell ref="AT76:AT79"/>
    <mergeCell ref="AT80:AT83"/>
    <mergeCell ref="AT84:AT87"/>
    <mergeCell ref="AU1:AU3"/>
    <mergeCell ref="AU6:AU7"/>
    <mergeCell ref="AU8:AU12"/>
    <mergeCell ref="AU13:AU19"/>
    <mergeCell ref="AU20:AU23"/>
    <mergeCell ref="AU24:AU25"/>
    <mergeCell ref="AU26:AU29"/>
    <mergeCell ref="AU30:AU34"/>
    <mergeCell ref="AU35:AU39"/>
    <mergeCell ref="AU40:AU44"/>
    <mergeCell ref="AU45:AU48"/>
    <mergeCell ref="AU49:AU52"/>
    <mergeCell ref="AU53:AU56"/>
    <mergeCell ref="AU57:AU60"/>
    <mergeCell ref="AU61:AU65"/>
    <mergeCell ref="AU66:AU69"/>
    <mergeCell ref="AU70:AU75"/>
    <mergeCell ref="AU76:AU79"/>
    <mergeCell ref="AU80:AU83"/>
    <mergeCell ref="AU84:AU87"/>
  </mergeCells>
  <pageMargins left="0.75" right="0.75" top="1" bottom="1" header="0.5" footer="0.5"/>
  <pageSetup paperSize="9" scale="34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2"/>
  <sheetViews>
    <sheetView zoomScale="85" zoomScaleNormal="85" workbookViewId="0">
      <pane xSplit="3" ySplit="3" topLeftCell="D42" activePane="bottomRight" state="frozen"/>
      <selection/>
      <selection pane="topRight"/>
      <selection pane="bottomLeft"/>
      <selection pane="bottomRight" activeCell="Y57" sqref="Y57"/>
    </sheetView>
  </sheetViews>
  <sheetFormatPr defaultColWidth="9" defaultRowHeight="15"/>
  <cols>
    <col min="1" max="1" width="13.6666666666667" style="2" customWidth="1"/>
    <col min="2" max="32" width="8.66666666666667" style="2" customWidth="1"/>
    <col min="33" max="33" width="13" style="2" customWidth="1"/>
    <col min="34" max="16384" width="9" style="2"/>
  </cols>
  <sheetData>
    <row r="1" spans="1:34">
      <c r="A1" s="11" t="s">
        <v>0</v>
      </c>
      <c r="B1" s="12" t="s">
        <v>1</v>
      </c>
      <c r="C1" s="13" t="s">
        <v>2</v>
      </c>
      <c r="D1" s="14" t="s">
        <v>3</v>
      </c>
      <c r="E1" s="14" t="s">
        <v>3</v>
      </c>
      <c r="F1" s="14" t="s">
        <v>3</v>
      </c>
      <c r="G1" s="14" t="s">
        <v>3</v>
      </c>
      <c r="H1" s="14" t="s">
        <v>3</v>
      </c>
      <c r="I1" s="14" t="s">
        <v>3</v>
      </c>
      <c r="J1" s="14" t="s">
        <v>3</v>
      </c>
      <c r="K1" s="14" t="s">
        <v>3</v>
      </c>
      <c r="L1" s="14" t="s">
        <v>3</v>
      </c>
      <c r="M1" s="14" t="s">
        <v>3</v>
      </c>
      <c r="N1" s="14" t="s">
        <v>3</v>
      </c>
      <c r="O1" s="14" t="s">
        <v>3</v>
      </c>
      <c r="P1" s="14" t="s">
        <v>3</v>
      </c>
      <c r="Q1" s="14" t="s">
        <v>3</v>
      </c>
      <c r="R1" s="14" t="s">
        <v>3</v>
      </c>
      <c r="S1" s="14" t="s">
        <v>3</v>
      </c>
      <c r="T1" s="14" t="s">
        <v>3</v>
      </c>
      <c r="U1" s="14" t="s">
        <v>3</v>
      </c>
      <c r="V1" s="15" t="s">
        <v>4</v>
      </c>
      <c r="W1" s="15" t="s">
        <v>4</v>
      </c>
      <c r="X1" s="15" t="s">
        <v>4</v>
      </c>
      <c r="Y1" s="15" t="s">
        <v>4</v>
      </c>
      <c r="Z1" s="15" t="s">
        <v>4</v>
      </c>
      <c r="AA1" s="15" t="s">
        <v>4</v>
      </c>
      <c r="AB1" s="15" t="s">
        <v>4</v>
      </c>
      <c r="AC1" s="15" t="s">
        <v>4</v>
      </c>
      <c r="AD1" s="15" t="s">
        <v>4</v>
      </c>
      <c r="AE1" s="15" t="s">
        <v>4</v>
      </c>
      <c r="AF1" s="15" t="s">
        <v>4</v>
      </c>
      <c r="AG1" s="17" t="s">
        <v>6</v>
      </c>
      <c r="AH1" s="17" t="s">
        <v>7</v>
      </c>
    </row>
    <row r="2" ht="16.5" customHeight="1" spans="1:34">
      <c r="A2" s="11"/>
      <c r="B2" s="12"/>
      <c r="C2" s="13"/>
      <c r="D2" s="13" t="s">
        <v>10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15</v>
      </c>
      <c r="J2" s="13" t="s">
        <v>16</v>
      </c>
      <c r="K2" s="13" t="s">
        <v>17</v>
      </c>
      <c r="L2" s="13" t="s">
        <v>18</v>
      </c>
      <c r="M2" s="13" t="s">
        <v>19</v>
      </c>
      <c r="N2" s="13" t="s">
        <v>20</v>
      </c>
      <c r="O2" s="13" t="s">
        <v>21</v>
      </c>
      <c r="P2" s="13" t="s">
        <v>22</v>
      </c>
      <c r="Q2" s="13" t="s">
        <v>23</v>
      </c>
      <c r="R2" s="13" t="s">
        <v>24</v>
      </c>
      <c r="S2" s="13" t="s">
        <v>25</v>
      </c>
      <c r="T2" s="13" t="s">
        <v>26</v>
      </c>
      <c r="U2" s="13" t="s">
        <v>27</v>
      </c>
      <c r="V2" s="13" t="s">
        <v>28</v>
      </c>
      <c r="W2" s="13" t="s">
        <v>29</v>
      </c>
      <c r="X2" s="13" t="s">
        <v>30</v>
      </c>
      <c r="Y2" s="13" t="s">
        <v>31</v>
      </c>
      <c r="Z2" s="13" t="s">
        <v>32</v>
      </c>
      <c r="AA2" s="13" t="s">
        <v>33</v>
      </c>
      <c r="AB2" s="13" t="s">
        <v>34</v>
      </c>
      <c r="AC2" s="13" t="s">
        <v>35</v>
      </c>
      <c r="AD2" s="13" t="s">
        <v>36</v>
      </c>
      <c r="AE2" s="13" t="s">
        <v>37</v>
      </c>
      <c r="AF2" s="13" t="s">
        <v>38</v>
      </c>
      <c r="AG2" s="17"/>
      <c r="AH2" s="17"/>
    </row>
    <row r="3" spans="1:34">
      <c r="A3" s="11"/>
      <c r="B3" s="12"/>
      <c r="C3" s="21"/>
      <c r="D3" s="22">
        <v>571</v>
      </c>
      <c r="E3" s="22">
        <v>571</v>
      </c>
      <c r="F3" s="22">
        <v>571</v>
      </c>
      <c r="G3" s="22">
        <v>571</v>
      </c>
      <c r="H3" s="22">
        <v>571.040026246719</v>
      </c>
      <c r="I3" s="22"/>
      <c r="J3" s="22">
        <v>494</v>
      </c>
      <c r="K3" s="22">
        <v>513</v>
      </c>
      <c r="L3" s="22">
        <v>513</v>
      </c>
      <c r="M3" s="22">
        <v>513</v>
      </c>
      <c r="N3" s="22">
        <v>504</v>
      </c>
      <c r="O3" s="22">
        <v>493</v>
      </c>
      <c r="P3" s="22">
        <v>513</v>
      </c>
      <c r="Q3" s="22">
        <v>513</v>
      </c>
      <c r="R3" s="22">
        <v>513</v>
      </c>
      <c r="S3" s="22">
        <v>503</v>
      </c>
      <c r="T3" s="22">
        <v>268</v>
      </c>
      <c r="U3" s="22">
        <v>268</v>
      </c>
      <c r="V3" s="22">
        <v>412</v>
      </c>
      <c r="W3" s="22">
        <v>484</v>
      </c>
      <c r="X3" s="22">
        <v>540</v>
      </c>
      <c r="Y3" s="22">
        <v>748</v>
      </c>
      <c r="Z3" s="22">
        <v>956</v>
      </c>
      <c r="AA3" s="22">
        <v>1008</v>
      </c>
      <c r="AB3" s="22">
        <v>1028</v>
      </c>
      <c r="AC3" s="22">
        <v>1216</v>
      </c>
      <c r="AD3" s="22">
        <v>1226</v>
      </c>
      <c r="AE3" s="22">
        <v>1426</v>
      </c>
      <c r="AF3" s="22">
        <v>1436</v>
      </c>
      <c r="AG3" s="17"/>
      <c r="AH3" s="17"/>
    </row>
    <row r="4" s="1" customFormat="1" spans="1:34">
      <c r="A4" s="48" t="s">
        <v>221</v>
      </c>
      <c r="B4" s="49" t="s">
        <v>222</v>
      </c>
      <c r="C4" s="50">
        <v>10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4</v>
      </c>
      <c r="O4" s="1">
        <v>6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5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53" t="s">
        <v>102</v>
      </c>
      <c r="AH4" s="53">
        <v>2</v>
      </c>
    </row>
    <row r="5" s="1" customFormat="1" spans="1:34">
      <c r="A5" s="48" t="s">
        <v>223</v>
      </c>
      <c r="B5" s="49" t="s">
        <v>224</v>
      </c>
      <c r="C5" s="50">
        <v>12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6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6</v>
      </c>
      <c r="U5" s="1">
        <v>0</v>
      </c>
      <c r="V5" s="1">
        <v>0</v>
      </c>
      <c r="W5" s="1">
        <v>6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53" t="s">
        <v>103</v>
      </c>
      <c r="AH5" s="53">
        <v>3</v>
      </c>
    </row>
    <row r="6" s="1" customFormat="1" spans="1:34">
      <c r="A6" s="48" t="s">
        <v>225</v>
      </c>
      <c r="B6" s="49" t="s">
        <v>226</v>
      </c>
      <c r="C6" s="50">
        <v>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3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3</v>
      </c>
      <c r="U6" s="1">
        <v>0</v>
      </c>
      <c r="V6" s="1">
        <v>0</v>
      </c>
      <c r="W6" s="1">
        <v>3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53" t="s">
        <v>102</v>
      </c>
      <c r="AH6" s="53">
        <v>1</v>
      </c>
    </row>
    <row r="7" s="1" customFormat="1" spans="1:34">
      <c r="A7" s="48" t="s">
        <v>227</v>
      </c>
      <c r="B7" s="49" t="s">
        <v>228</v>
      </c>
      <c r="C7" s="50">
        <v>12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2</v>
      </c>
      <c r="O7" s="1">
        <v>8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>
        <v>0</v>
      </c>
      <c r="W7" s="1">
        <v>6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53" t="s">
        <v>102</v>
      </c>
      <c r="AH7" s="53">
        <v>2</v>
      </c>
    </row>
    <row r="8" s="1" customFormat="1" spans="1:34">
      <c r="A8" s="48" t="s">
        <v>229</v>
      </c>
      <c r="B8" s="49" t="s">
        <v>230</v>
      </c>
      <c r="C8" s="50">
        <v>12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6</v>
      </c>
      <c r="O8" s="1">
        <v>6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6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53" t="s">
        <v>102</v>
      </c>
      <c r="AH8" s="53">
        <v>2</v>
      </c>
    </row>
    <row r="9" s="1" customFormat="1" spans="1:34">
      <c r="A9" s="48" t="s">
        <v>231</v>
      </c>
      <c r="B9" s="49" t="s">
        <v>230</v>
      </c>
      <c r="C9" s="50">
        <v>12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6</v>
      </c>
      <c r="O9" s="1">
        <v>6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6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53" t="s">
        <v>102</v>
      </c>
      <c r="AH9" s="53">
        <v>2</v>
      </c>
    </row>
    <row r="10" s="1" customFormat="1" spans="1:34">
      <c r="A10" s="48" t="s">
        <v>232</v>
      </c>
      <c r="B10" s="49" t="s">
        <v>230</v>
      </c>
      <c r="C10" s="50">
        <v>12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6</v>
      </c>
      <c r="O10" s="1">
        <v>6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6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53" t="s">
        <v>102</v>
      </c>
      <c r="AH10" s="53">
        <v>2</v>
      </c>
    </row>
    <row r="11" s="1" customFormat="1" spans="1:34">
      <c r="A11" s="48" t="s">
        <v>233</v>
      </c>
      <c r="B11" s="49" t="s">
        <v>234</v>
      </c>
      <c r="C11" s="50">
        <v>12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6</v>
      </c>
      <c r="Q11" s="1">
        <v>0</v>
      </c>
      <c r="R11" s="1">
        <v>0</v>
      </c>
      <c r="S11" s="1">
        <v>0</v>
      </c>
      <c r="T11" s="1">
        <v>0</v>
      </c>
      <c r="U11" s="1">
        <v>6</v>
      </c>
      <c r="V11" s="1">
        <v>0</v>
      </c>
      <c r="W11" s="1">
        <v>6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53" t="s">
        <v>102</v>
      </c>
      <c r="AH11" s="53">
        <v>2</v>
      </c>
    </row>
    <row r="12" s="1" customFormat="1" spans="1:34">
      <c r="A12" s="48" t="s">
        <v>235</v>
      </c>
      <c r="B12" s="49" t="s">
        <v>236</v>
      </c>
      <c r="C12" s="50">
        <v>12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6</v>
      </c>
      <c r="Q12" s="1">
        <v>0</v>
      </c>
      <c r="R12" s="1">
        <v>0</v>
      </c>
      <c r="S12" s="1">
        <v>0</v>
      </c>
      <c r="T12" s="1">
        <v>0</v>
      </c>
      <c r="U12" s="1">
        <v>6</v>
      </c>
      <c r="V12" s="1">
        <v>0</v>
      </c>
      <c r="W12" s="1">
        <v>6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53" t="s">
        <v>102</v>
      </c>
      <c r="AH12" s="53">
        <v>2</v>
      </c>
    </row>
    <row r="13" s="1" customFormat="1" spans="1:34">
      <c r="A13" s="48" t="s">
        <v>237</v>
      </c>
      <c r="B13" s="49" t="s">
        <v>236</v>
      </c>
      <c r="C13" s="50">
        <v>12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6</v>
      </c>
      <c r="Q13" s="1">
        <v>0</v>
      </c>
      <c r="R13" s="1">
        <v>0</v>
      </c>
      <c r="S13" s="1">
        <v>0</v>
      </c>
      <c r="T13" s="1">
        <v>0</v>
      </c>
      <c r="U13" s="1">
        <v>6</v>
      </c>
      <c r="V13" s="1">
        <v>0</v>
      </c>
      <c r="W13" s="1">
        <v>6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53" t="s">
        <v>102</v>
      </c>
      <c r="AH13" s="53">
        <v>2</v>
      </c>
    </row>
    <row r="14" s="1" customFormat="1" spans="1:34">
      <c r="A14" s="48" t="s">
        <v>238</v>
      </c>
      <c r="B14" s="49" t="s">
        <v>118</v>
      </c>
      <c r="C14" s="50">
        <v>8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5</v>
      </c>
      <c r="K14" s="1">
        <v>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2</v>
      </c>
      <c r="X14" s="1">
        <v>0</v>
      </c>
      <c r="Y14" s="1">
        <v>0</v>
      </c>
      <c r="Z14" s="1">
        <v>2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2</v>
      </c>
      <c r="AG14" s="53" t="s">
        <v>102</v>
      </c>
      <c r="AH14" s="53">
        <v>2</v>
      </c>
    </row>
    <row r="15" s="1" customFormat="1" spans="1:34">
      <c r="A15" s="48" t="s">
        <v>239</v>
      </c>
      <c r="B15" s="49" t="s">
        <v>118</v>
      </c>
      <c r="C15" s="50">
        <v>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</v>
      </c>
      <c r="K15" s="1">
        <v>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</v>
      </c>
      <c r="T15" s="1">
        <v>0</v>
      </c>
      <c r="U15" s="1">
        <v>0</v>
      </c>
      <c r="V15" s="1">
        <v>0</v>
      </c>
      <c r="W15" s="1">
        <v>2</v>
      </c>
      <c r="X15" s="1">
        <v>0</v>
      </c>
      <c r="Y15" s="1">
        <v>0</v>
      </c>
      <c r="Z15" s="1">
        <v>2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2</v>
      </c>
      <c r="AG15" s="53" t="s">
        <v>102</v>
      </c>
      <c r="AH15" s="53">
        <v>2</v>
      </c>
    </row>
    <row r="16" s="1" customFormat="1" spans="1:34">
      <c r="A16" s="48" t="s">
        <v>240</v>
      </c>
      <c r="B16" s="49" t="s">
        <v>147</v>
      </c>
      <c r="C16" s="50">
        <v>7</v>
      </c>
      <c r="D16" s="1">
        <v>0</v>
      </c>
      <c r="E16" s="1">
        <v>0</v>
      </c>
      <c r="F16" s="1">
        <v>0</v>
      </c>
      <c r="G16" s="1">
        <v>7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53" t="s">
        <v>102</v>
      </c>
      <c r="AH16" s="53">
        <v>1</v>
      </c>
    </row>
    <row r="17" s="1" customFormat="1" spans="1:34">
      <c r="A17" s="48" t="s">
        <v>241</v>
      </c>
      <c r="B17" s="49" t="s">
        <v>147</v>
      </c>
      <c r="C17" s="50">
        <v>7</v>
      </c>
      <c r="D17" s="1">
        <v>0</v>
      </c>
      <c r="E17" s="1">
        <v>0</v>
      </c>
      <c r="F17" s="1">
        <v>0</v>
      </c>
      <c r="G17" s="1">
        <v>7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53" t="s">
        <v>102</v>
      </c>
      <c r="AH17" s="53">
        <v>1</v>
      </c>
    </row>
    <row r="18" s="1" customFormat="1" spans="1:34">
      <c r="A18" s="48" t="s">
        <v>242</v>
      </c>
      <c r="B18" s="49" t="s">
        <v>243</v>
      </c>
      <c r="C18" s="50">
        <v>12</v>
      </c>
      <c r="D18" s="1">
        <v>0</v>
      </c>
      <c r="E18" s="1">
        <v>0</v>
      </c>
      <c r="F18" s="1">
        <v>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4</v>
      </c>
      <c r="O18" s="1">
        <v>4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4</v>
      </c>
      <c r="X18" s="1">
        <v>0</v>
      </c>
      <c r="Y18" s="1">
        <v>0</v>
      </c>
      <c r="Z18" s="1">
        <v>4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53" t="s">
        <v>102</v>
      </c>
      <c r="AH18" s="53">
        <v>4</v>
      </c>
    </row>
    <row r="19" s="1" customFormat="1" spans="1:34">
      <c r="A19" s="48" t="s">
        <v>244</v>
      </c>
      <c r="B19" s="49" t="s">
        <v>243</v>
      </c>
      <c r="C19" s="65">
        <v>12</v>
      </c>
      <c r="D19" s="1">
        <v>0</v>
      </c>
      <c r="E19" s="1">
        <v>0</v>
      </c>
      <c r="F19" s="1">
        <v>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4</v>
      </c>
      <c r="O19" s="1">
        <v>4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4</v>
      </c>
      <c r="X19" s="1">
        <v>0</v>
      </c>
      <c r="Y19" s="1">
        <v>0</v>
      </c>
      <c r="Z19" s="1">
        <v>4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53" t="s">
        <v>102</v>
      </c>
      <c r="AH19" s="53">
        <v>4</v>
      </c>
    </row>
    <row r="20" s="1" customFormat="1" spans="1:34">
      <c r="A20" s="48" t="s">
        <v>245</v>
      </c>
      <c r="B20" s="49" t="s">
        <v>243</v>
      </c>
      <c r="C20" s="62">
        <v>12</v>
      </c>
      <c r="D20" s="1">
        <v>0</v>
      </c>
      <c r="E20" s="1">
        <v>0</v>
      </c>
      <c r="F20" s="1">
        <v>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4</v>
      </c>
      <c r="O20" s="1">
        <v>4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4</v>
      </c>
      <c r="X20" s="1">
        <v>0</v>
      </c>
      <c r="Y20" s="1">
        <v>0</v>
      </c>
      <c r="Z20" s="1">
        <v>4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53" t="s">
        <v>102</v>
      </c>
      <c r="AH20" s="53">
        <v>4</v>
      </c>
    </row>
    <row r="21" s="1" customFormat="1" spans="1:34">
      <c r="A21" s="48" t="s">
        <v>246</v>
      </c>
      <c r="B21" s="49" t="s">
        <v>247</v>
      </c>
      <c r="C21" s="62">
        <v>12</v>
      </c>
      <c r="D21" s="1">
        <v>0</v>
      </c>
      <c r="E21" s="1">
        <v>0</v>
      </c>
      <c r="F21" s="1">
        <v>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O21" s="1">
        <v>4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4</v>
      </c>
      <c r="X21" s="1">
        <v>0</v>
      </c>
      <c r="Y21" s="1">
        <v>0</v>
      </c>
      <c r="Z21" s="1">
        <v>4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53" t="s">
        <v>102</v>
      </c>
      <c r="AH21" s="53">
        <v>4</v>
      </c>
    </row>
    <row r="22" s="1" customFormat="1" spans="1:34">
      <c r="A22" s="48" t="s">
        <v>248</v>
      </c>
      <c r="B22" s="49" t="s">
        <v>247</v>
      </c>
      <c r="C22" s="56">
        <v>12</v>
      </c>
      <c r="D22" s="1">
        <v>0</v>
      </c>
      <c r="E22" s="1">
        <v>0</v>
      </c>
      <c r="F22" s="1">
        <v>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4</v>
      </c>
      <c r="O22" s="1">
        <v>4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4</v>
      </c>
      <c r="X22" s="1">
        <v>0</v>
      </c>
      <c r="Y22" s="1">
        <v>0</v>
      </c>
      <c r="Z22" s="1">
        <v>4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53" t="s">
        <v>102</v>
      </c>
      <c r="AH22" s="53">
        <v>4</v>
      </c>
    </row>
    <row r="23" s="1" customFormat="1" spans="1:34">
      <c r="A23" s="48" t="s">
        <v>249</v>
      </c>
      <c r="B23" s="49" t="s">
        <v>247</v>
      </c>
      <c r="C23" s="56">
        <v>12</v>
      </c>
      <c r="D23" s="1">
        <v>0</v>
      </c>
      <c r="E23" s="1">
        <v>0</v>
      </c>
      <c r="F23" s="1">
        <v>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4</v>
      </c>
      <c r="O23" s="1">
        <v>4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4</v>
      </c>
      <c r="X23" s="1">
        <v>0</v>
      </c>
      <c r="Y23" s="1">
        <v>0</v>
      </c>
      <c r="Z23" s="1">
        <v>4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53" t="s">
        <v>102</v>
      </c>
      <c r="AH23" s="53">
        <v>4</v>
      </c>
    </row>
    <row r="24" s="1" customFormat="1" spans="1:34">
      <c r="A24" s="48" t="s">
        <v>250</v>
      </c>
      <c r="B24" s="49" t="s">
        <v>247</v>
      </c>
      <c r="C24" s="56">
        <v>12</v>
      </c>
      <c r="D24" s="1">
        <v>0</v>
      </c>
      <c r="E24" s="1">
        <v>0</v>
      </c>
      <c r="F24" s="1">
        <v>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4</v>
      </c>
      <c r="O24" s="1">
        <v>4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4</v>
      </c>
      <c r="X24" s="1">
        <v>0</v>
      </c>
      <c r="Y24" s="1">
        <v>0</v>
      </c>
      <c r="Z24" s="1">
        <v>4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53" t="s">
        <v>102</v>
      </c>
      <c r="AH24" s="53">
        <v>4</v>
      </c>
    </row>
    <row r="25" s="1" customFormat="1" spans="1:34">
      <c r="A25" s="48" t="s">
        <v>251</v>
      </c>
      <c r="B25" s="49" t="s">
        <v>114</v>
      </c>
      <c r="C25" s="56">
        <v>8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2</v>
      </c>
      <c r="K25" s="1">
        <v>2</v>
      </c>
      <c r="L25" s="1">
        <v>0</v>
      </c>
      <c r="M25" s="1">
        <v>0</v>
      </c>
      <c r="N25" s="1">
        <v>0</v>
      </c>
      <c r="O25" s="1">
        <v>0</v>
      </c>
      <c r="P25" s="1">
        <v>2</v>
      </c>
      <c r="Q25" s="1">
        <v>0</v>
      </c>
      <c r="R25" s="1">
        <v>0</v>
      </c>
      <c r="S25" s="1">
        <v>0</v>
      </c>
      <c r="T25" s="1">
        <v>0</v>
      </c>
      <c r="U25" s="1">
        <v>2</v>
      </c>
      <c r="V25" s="1">
        <v>0</v>
      </c>
      <c r="W25" s="1">
        <v>2</v>
      </c>
      <c r="X25" s="1">
        <v>0</v>
      </c>
      <c r="Y25" s="1">
        <v>2</v>
      </c>
      <c r="Z25" s="1">
        <v>0</v>
      </c>
      <c r="AA25" s="1">
        <v>0</v>
      </c>
      <c r="AB25" s="1">
        <v>0</v>
      </c>
      <c r="AC25" s="1">
        <v>2</v>
      </c>
      <c r="AD25" s="1">
        <v>0</v>
      </c>
      <c r="AE25" s="1">
        <v>0</v>
      </c>
      <c r="AF25" s="1">
        <v>0</v>
      </c>
      <c r="AG25" s="53" t="s">
        <v>102</v>
      </c>
      <c r="AH25" s="53">
        <v>2</v>
      </c>
    </row>
    <row r="26" s="1" customFormat="1" spans="1:34">
      <c r="A26" s="48" t="s">
        <v>252</v>
      </c>
      <c r="B26" s="49" t="s">
        <v>116</v>
      </c>
      <c r="C26" s="56">
        <v>8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2</v>
      </c>
      <c r="K26" s="1">
        <v>2</v>
      </c>
      <c r="L26" s="1">
        <v>0</v>
      </c>
      <c r="M26" s="1">
        <v>0</v>
      </c>
      <c r="N26" s="1">
        <v>0</v>
      </c>
      <c r="O26" s="1">
        <v>0</v>
      </c>
      <c r="P26" s="1">
        <v>2</v>
      </c>
      <c r="Q26" s="1">
        <v>0</v>
      </c>
      <c r="R26" s="1">
        <v>0</v>
      </c>
      <c r="S26" s="1">
        <v>0</v>
      </c>
      <c r="T26" s="1">
        <v>0</v>
      </c>
      <c r="U26" s="1">
        <v>2</v>
      </c>
      <c r="V26" s="1">
        <v>0</v>
      </c>
      <c r="W26" s="1">
        <v>2</v>
      </c>
      <c r="X26" s="1">
        <v>0</v>
      </c>
      <c r="Y26" s="1">
        <v>2</v>
      </c>
      <c r="Z26" s="1">
        <v>0</v>
      </c>
      <c r="AA26" s="1">
        <v>0</v>
      </c>
      <c r="AB26" s="1">
        <v>0</v>
      </c>
      <c r="AC26" s="1">
        <v>2</v>
      </c>
      <c r="AD26" s="1">
        <v>0</v>
      </c>
      <c r="AE26" s="1">
        <v>0</v>
      </c>
      <c r="AF26" s="1">
        <v>0</v>
      </c>
      <c r="AG26" s="53" t="s">
        <v>102</v>
      </c>
      <c r="AH26" s="53">
        <v>2</v>
      </c>
    </row>
    <row r="27" s="1" customFormat="1" spans="1:34">
      <c r="A27" s="48" t="s">
        <v>253</v>
      </c>
      <c r="B27" s="49" t="s">
        <v>243</v>
      </c>
      <c r="C27" s="56">
        <v>12</v>
      </c>
      <c r="D27" s="1">
        <v>0</v>
      </c>
      <c r="E27" s="1">
        <v>0</v>
      </c>
      <c r="F27" s="1">
        <v>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4</v>
      </c>
      <c r="O27" s="1">
        <v>4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4</v>
      </c>
      <c r="X27" s="1">
        <v>0</v>
      </c>
      <c r="Y27" s="1">
        <v>0</v>
      </c>
      <c r="Z27" s="1">
        <v>4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53" t="s">
        <v>102</v>
      </c>
      <c r="AH27" s="53">
        <v>4</v>
      </c>
    </row>
    <row r="28" s="1" customFormat="1" spans="1:34">
      <c r="A28" s="48" t="s">
        <v>254</v>
      </c>
      <c r="B28" s="49" t="s">
        <v>243</v>
      </c>
      <c r="C28" s="56">
        <v>12</v>
      </c>
      <c r="D28" s="1">
        <v>0</v>
      </c>
      <c r="E28" s="1">
        <v>0</v>
      </c>
      <c r="F28" s="1">
        <v>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4</v>
      </c>
      <c r="O28" s="1">
        <v>4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4</v>
      </c>
      <c r="X28" s="1">
        <v>0</v>
      </c>
      <c r="Y28" s="1">
        <v>0</v>
      </c>
      <c r="Z28" s="1">
        <v>4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53" t="s">
        <v>102</v>
      </c>
      <c r="AH28" s="53">
        <v>4</v>
      </c>
    </row>
    <row r="29" s="1" customFormat="1" spans="1:34">
      <c r="A29" s="48" t="s">
        <v>255</v>
      </c>
      <c r="B29" s="49" t="s">
        <v>243</v>
      </c>
      <c r="C29" s="56">
        <v>12</v>
      </c>
      <c r="D29" s="1">
        <v>0</v>
      </c>
      <c r="E29" s="1">
        <v>0</v>
      </c>
      <c r="F29" s="1">
        <v>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4</v>
      </c>
      <c r="O29" s="1">
        <v>4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4</v>
      </c>
      <c r="X29" s="1">
        <v>0</v>
      </c>
      <c r="Y29" s="1">
        <v>0</v>
      </c>
      <c r="Z29" s="1">
        <v>4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53" t="s">
        <v>102</v>
      </c>
      <c r="AH29" s="53">
        <v>4</v>
      </c>
    </row>
    <row r="30" s="1" customFormat="1" spans="1:34">
      <c r="A30" s="48" t="s">
        <v>256</v>
      </c>
      <c r="B30" s="49" t="s">
        <v>247</v>
      </c>
      <c r="C30" s="56">
        <v>12</v>
      </c>
      <c r="D30" s="1">
        <v>0</v>
      </c>
      <c r="E30" s="1">
        <v>0</v>
      </c>
      <c r="F30" s="1">
        <v>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4</v>
      </c>
      <c r="O30" s="1">
        <v>4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4</v>
      </c>
      <c r="X30" s="1">
        <v>0</v>
      </c>
      <c r="Y30" s="1">
        <v>0</v>
      </c>
      <c r="Z30" s="1">
        <v>4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53" t="s">
        <v>102</v>
      </c>
      <c r="AH30" s="53">
        <v>4</v>
      </c>
    </row>
    <row r="31" s="1" customFormat="1" spans="1:34">
      <c r="A31" s="48" t="s">
        <v>257</v>
      </c>
      <c r="B31" s="49" t="s">
        <v>247</v>
      </c>
      <c r="C31" s="56">
        <v>12</v>
      </c>
      <c r="D31" s="1">
        <v>0</v>
      </c>
      <c r="E31" s="1">
        <v>0</v>
      </c>
      <c r="F31" s="1">
        <v>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4</v>
      </c>
      <c r="O31" s="1">
        <v>4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4</v>
      </c>
      <c r="X31" s="1">
        <v>0</v>
      </c>
      <c r="Y31" s="1">
        <v>0</v>
      </c>
      <c r="Z31" s="1">
        <v>4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53" t="s">
        <v>102</v>
      </c>
      <c r="AH31" s="53">
        <v>4</v>
      </c>
    </row>
    <row r="32" s="1" customFormat="1" spans="1:34">
      <c r="A32" s="48" t="s">
        <v>258</v>
      </c>
      <c r="B32" s="49" t="s">
        <v>247</v>
      </c>
      <c r="C32" s="56">
        <v>12</v>
      </c>
      <c r="D32" s="1">
        <v>0</v>
      </c>
      <c r="E32" s="1">
        <v>0</v>
      </c>
      <c r="F32" s="1">
        <v>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4</v>
      </c>
      <c r="O32" s="1">
        <v>4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4</v>
      </c>
      <c r="X32" s="1">
        <v>0</v>
      </c>
      <c r="Y32" s="1">
        <v>0</v>
      </c>
      <c r="Z32" s="1">
        <v>4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53" t="s">
        <v>102</v>
      </c>
      <c r="AH32" s="53">
        <v>4</v>
      </c>
    </row>
    <row r="33" s="1" customFormat="1" spans="1:34">
      <c r="A33" s="48" t="s">
        <v>259</v>
      </c>
      <c r="B33" s="49" t="s">
        <v>247</v>
      </c>
      <c r="C33" s="56">
        <v>12</v>
      </c>
      <c r="D33" s="1">
        <v>0</v>
      </c>
      <c r="E33" s="1">
        <v>0</v>
      </c>
      <c r="F33" s="1">
        <v>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4</v>
      </c>
      <c r="O33" s="1">
        <v>4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4</v>
      </c>
      <c r="X33" s="1">
        <v>0</v>
      </c>
      <c r="Y33" s="1">
        <v>0</v>
      </c>
      <c r="Z33" s="1">
        <v>4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53" t="s">
        <v>102</v>
      </c>
      <c r="AH33" s="53">
        <v>4</v>
      </c>
    </row>
    <row r="34" s="1" customFormat="1" spans="1:34">
      <c r="A34" s="48" t="s">
        <v>260</v>
      </c>
      <c r="B34" s="49" t="s">
        <v>114</v>
      </c>
      <c r="C34" s="56">
        <v>8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2</v>
      </c>
      <c r="K34" s="1">
        <v>2</v>
      </c>
      <c r="L34" s="1">
        <v>0</v>
      </c>
      <c r="M34" s="1">
        <v>0</v>
      </c>
      <c r="N34" s="1">
        <v>0</v>
      </c>
      <c r="O34" s="1">
        <v>0</v>
      </c>
      <c r="P34" s="1">
        <v>2</v>
      </c>
      <c r="Q34" s="1">
        <v>0</v>
      </c>
      <c r="R34" s="1">
        <v>0</v>
      </c>
      <c r="S34" s="1">
        <v>0</v>
      </c>
      <c r="T34" s="1">
        <v>0</v>
      </c>
      <c r="U34" s="1">
        <v>2</v>
      </c>
      <c r="V34" s="1">
        <v>0</v>
      </c>
      <c r="W34" s="1">
        <v>2</v>
      </c>
      <c r="X34" s="1">
        <v>0</v>
      </c>
      <c r="Y34" s="1">
        <v>2</v>
      </c>
      <c r="Z34" s="1">
        <v>0</v>
      </c>
      <c r="AA34" s="1">
        <v>0</v>
      </c>
      <c r="AB34" s="1">
        <v>0</v>
      </c>
      <c r="AC34" s="1">
        <v>2</v>
      </c>
      <c r="AD34" s="1">
        <v>0</v>
      </c>
      <c r="AE34" s="1">
        <v>0</v>
      </c>
      <c r="AF34" s="1">
        <v>0</v>
      </c>
      <c r="AG34" s="53" t="s">
        <v>102</v>
      </c>
      <c r="AH34" s="53">
        <v>2</v>
      </c>
    </row>
    <row r="35" s="1" customFormat="1" spans="1:34">
      <c r="A35" s="48" t="s">
        <v>261</v>
      </c>
      <c r="B35" s="49" t="s">
        <v>116</v>
      </c>
      <c r="C35" s="56">
        <v>8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2</v>
      </c>
      <c r="K35" s="1">
        <v>2</v>
      </c>
      <c r="L35" s="1">
        <v>0</v>
      </c>
      <c r="M35" s="1">
        <v>0</v>
      </c>
      <c r="N35" s="1">
        <v>0</v>
      </c>
      <c r="O35" s="1">
        <v>0</v>
      </c>
      <c r="P35" s="1">
        <v>2</v>
      </c>
      <c r="Q35" s="1">
        <v>0</v>
      </c>
      <c r="R35" s="1">
        <v>0</v>
      </c>
      <c r="S35" s="1">
        <v>0</v>
      </c>
      <c r="T35" s="1">
        <v>0</v>
      </c>
      <c r="U35" s="1">
        <v>2</v>
      </c>
      <c r="V35" s="1">
        <v>0</v>
      </c>
      <c r="W35" s="1">
        <v>2</v>
      </c>
      <c r="X35" s="1">
        <v>0</v>
      </c>
      <c r="Y35" s="1">
        <v>2</v>
      </c>
      <c r="Z35" s="1">
        <v>0</v>
      </c>
      <c r="AA35" s="1">
        <v>0</v>
      </c>
      <c r="AB35" s="1">
        <v>0</v>
      </c>
      <c r="AC35" s="1">
        <v>2</v>
      </c>
      <c r="AD35" s="1">
        <v>0</v>
      </c>
      <c r="AE35" s="1">
        <v>0</v>
      </c>
      <c r="AF35" s="1">
        <v>0</v>
      </c>
      <c r="AG35" s="53" t="s">
        <v>102</v>
      </c>
      <c r="AH35" s="53">
        <v>2</v>
      </c>
    </row>
    <row r="36" s="1" customFormat="1" ht="15.75" customHeight="1" spans="1:34">
      <c r="A36" s="48" t="s">
        <v>262</v>
      </c>
      <c r="B36" s="49" t="s">
        <v>243</v>
      </c>
      <c r="C36" s="56">
        <v>12</v>
      </c>
      <c r="D36" s="1">
        <v>0</v>
      </c>
      <c r="E36" s="1">
        <v>0</v>
      </c>
      <c r="F36" s="1">
        <v>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4</v>
      </c>
      <c r="O36" s="1">
        <v>4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4</v>
      </c>
      <c r="X36" s="1">
        <v>0</v>
      </c>
      <c r="Y36" s="1">
        <v>0</v>
      </c>
      <c r="Z36" s="1">
        <v>4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53" t="s">
        <v>102</v>
      </c>
      <c r="AH36" s="53">
        <v>4</v>
      </c>
    </row>
    <row r="37" s="1" customFormat="1" ht="15.75" customHeight="1" spans="1:34">
      <c r="A37" s="48" t="s">
        <v>263</v>
      </c>
      <c r="B37" s="49" t="s">
        <v>243</v>
      </c>
      <c r="C37" s="56">
        <v>12</v>
      </c>
      <c r="D37" s="1">
        <v>0</v>
      </c>
      <c r="E37" s="1">
        <v>0</v>
      </c>
      <c r="F37" s="1">
        <v>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4</v>
      </c>
      <c r="O37" s="1">
        <v>4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4</v>
      </c>
      <c r="X37" s="1">
        <v>0</v>
      </c>
      <c r="Y37" s="1">
        <v>0</v>
      </c>
      <c r="Z37" s="1">
        <v>4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53" t="s">
        <v>102</v>
      </c>
      <c r="AH37" s="53">
        <v>4</v>
      </c>
    </row>
    <row r="38" s="1" customFormat="1" ht="15.75" customHeight="1" spans="1:34">
      <c r="A38" s="48" t="s">
        <v>264</v>
      </c>
      <c r="B38" s="49" t="s">
        <v>243</v>
      </c>
      <c r="C38" s="56">
        <v>12</v>
      </c>
      <c r="D38" s="1">
        <v>0</v>
      </c>
      <c r="E38" s="1">
        <v>0</v>
      </c>
      <c r="F38" s="1">
        <v>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4</v>
      </c>
      <c r="O38" s="1">
        <v>4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4</v>
      </c>
      <c r="X38" s="1">
        <v>0</v>
      </c>
      <c r="Y38" s="1">
        <v>0</v>
      </c>
      <c r="Z38" s="1">
        <v>4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53" t="s">
        <v>102</v>
      </c>
      <c r="AH38" s="53">
        <v>4</v>
      </c>
    </row>
    <row r="39" s="1" customFormat="1" ht="15.75" customHeight="1" spans="1:34">
      <c r="A39" s="48" t="s">
        <v>265</v>
      </c>
      <c r="B39" s="49" t="s">
        <v>247</v>
      </c>
      <c r="C39" s="56">
        <v>12</v>
      </c>
      <c r="D39" s="1">
        <v>0</v>
      </c>
      <c r="E39" s="1">
        <v>0</v>
      </c>
      <c r="F39" s="1">
        <v>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4</v>
      </c>
      <c r="O39" s="1">
        <v>4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4</v>
      </c>
      <c r="X39" s="1">
        <v>0</v>
      </c>
      <c r="Y39" s="1">
        <v>0</v>
      </c>
      <c r="Z39" s="1">
        <v>4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53" t="s">
        <v>102</v>
      </c>
      <c r="AH39" s="53">
        <v>4</v>
      </c>
    </row>
    <row r="40" s="1" customFormat="1" ht="15.75" customHeight="1" spans="1:34">
      <c r="A40" s="48" t="s">
        <v>266</v>
      </c>
      <c r="B40" s="49" t="s">
        <v>247</v>
      </c>
      <c r="C40" s="56">
        <v>12</v>
      </c>
      <c r="D40" s="1">
        <v>0</v>
      </c>
      <c r="E40" s="1">
        <v>0</v>
      </c>
      <c r="F40" s="1">
        <v>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4</v>
      </c>
      <c r="O40" s="1">
        <v>4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4</v>
      </c>
      <c r="X40" s="1">
        <v>0</v>
      </c>
      <c r="Y40" s="1">
        <v>0</v>
      </c>
      <c r="Z40" s="1">
        <v>4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53" t="s">
        <v>102</v>
      </c>
      <c r="AH40" s="53">
        <v>4</v>
      </c>
    </row>
    <row r="41" s="1" customFormat="1" ht="15.75" customHeight="1" spans="1:34">
      <c r="A41" s="48" t="s">
        <v>267</v>
      </c>
      <c r="B41" s="49" t="s">
        <v>268</v>
      </c>
      <c r="C41" s="56">
        <v>9</v>
      </c>
      <c r="D41" s="1">
        <v>0</v>
      </c>
      <c r="E41" s="1">
        <v>3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6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3</v>
      </c>
      <c r="X41" s="1">
        <v>0</v>
      </c>
      <c r="Y41" s="1">
        <v>0</v>
      </c>
      <c r="Z41" s="1">
        <v>3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53" t="s">
        <v>102</v>
      </c>
      <c r="AH41" s="53">
        <v>3</v>
      </c>
    </row>
    <row r="42" s="1" customFormat="1" ht="15.75" customHeight="1" spans="1:34">
      <c r="A42" s="48" t="s">
        <v>269</v>
      </c>
      <c r="B42" s="49" t="s">
        <v>268</v>
      </c>
      <c r="C42" s="56">
        <v>9</v>
      </c>
      <c r="D42" s="1">
        <v>0</v>
      </c>
      <c r="E42" s="1">
        <v>3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6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3</v>
      </c>
      <c r="X42" s="1">
        <v>0</v>
      </c>
      <c r="Y42" s="1">
        <v>0</v>
      </c>
      <c r="Z42" s="1">
        <v>3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53" t="s">
        <v>102</v>
      </c>
      <c r="AH42" s="53">
        <v>3</v>
      </c>
    </row>
    <row r="43" s="1" customFormat="1" ht="15.75" customHeight="1" spans="1:34">
      <c r="A43" s="48" t="s">
        <v>270</v>
      </c>
      <c r="B43" s="49" t="s">
        <v>271</v>
      </c>
      <c r="C43" s="56">
        <v>8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4</v>
      </c>
      <c r="O43" s="1">
        <v>4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4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53" t="s">
        <v>102</v>
      </c>
      <c r="AH43" s="53">
        <v>2</v>
      </c>
    </row>
    <row r="44" s="1" customFormat="1" ht="15.75" customHeight="1" spans="1:34">
      <c r="A44" s="48" t="s">
        <v>272</v>
      </c>
      <c r="B44" s="49" t="s">
        <v>222</v>
      </c>
      <c r="C44" s="56">
        <v>10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4</v>
      </c>
      <c r="O44" s="1">
        <v>6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5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53" t="s">
        <v>102</v>
      </c>
      <c r="AH44" s="53">
        <v>2</v>
      </c>
    </row>
    <row r="45" s="1" customFormat="1" ht="15.75" customHeight="1" spans="1:34">
      <c r="A45" s="48" t="s">
        <v>273</v>
      </c>
      <c r="B45" s="49" t="s">
        <v>222</v>
      </c>
      <c r="C45" s="56">
        <v>10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4</v>
      </c>
      <c r="O45" s="1">
        <v>6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5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53" t="s">
        <v>102</v>
      </c>
      <c r="AH45" s="53">
        <v>2</v>
      </c>
    </row>
    <row r="46" s="1" customFormat="1" ht="15.75" customHeight="1" spans="1:34">
      <c r="A46" s="48" t="s">
        <v>274</v>
      </c>
      <c r="B46" s="49" t="s">
        <v>106</v>
      </c>
      <c r="C46" s="56">
        <v>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6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2</v>
      </c>
      <c r="T46" s="1">
        <v>0</v>
      </c>
      <c r="U46" s="1">
        <v>0</v>
      </c>
      <c r="V46" s="1">
        <v>0</v>
      </c>
      <c r="W46" s="1">
        <v>2</v>
      </c>
      <c r="X46" s="1">
        <v>0</v>
      </c>
      <c r="Y46" s="1">
        <v>0</v>
      </c>
      <c r="Z46" s="1">
        <v>2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2</v>
      </c>
      <c r="AG46" s="53" t="s">
        <v>102</v>
      </c>
      <c r="AH46" s="53">
        <v>2</v>
      </c>
    </row>
    <row r="47" s="1" customFormat="1" ht="15.75" customHeight="1" spans="1:34">
      <c r="A47" s="48" t="s">
        <v>275</v>
      </c>
      <c r="B47" s="49" t="s">
        <v>106</v>
      </c>
      <c r="C47" s="56">
        <v>8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6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2</v>
      </c>
      <c r="T47" s="1">
        <v>0</v>
      </c>
      <c r="U47" s="1">
        <v>0</v>
      </c>
      <c r="V47" s="1">
        <v>0</v>
      </c>
      <c r="W47" s="1">
        <v>2</v>
      </c>
      <c r="X47" s="1">
        <v>0</v>
      </c>
      <c r="Y47" s="1">
        <v>0</v>
      </c>
      <c r="Z47" s="1">
        <v>2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2</v>
      </c>
      <c r="AG47" s="53" t="s">
        <v>102</v>
      </c>
      <c r="AH47" s="53">
        <v>2</v>
      </c>
    </row>
    <row r="48" s="1" customFormat="1" ht="15.75" customHeight="1" spans="1:34">
      <c r="A48" s="48" t="s">
        <v>276</v>
      </c>
      <c r="B48" s="49" t="s">
        <v>114</v>
      </c>
      <c r="C48" s="56">
        <v>8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2</v>
      </c>
      <c r="K48" s="1">
        <v>2</v>
      </c>
      <c r="L48" s="1">
        <v>0</v>
      </c>
      <c r="M48" s="1">
        <v>0</v>
      </c>
      <c r="N48" s="1">
        <v>0</v>
      </c>
      <c r="O48" s="1">
        <v>0</v>
      </c>
      <c r="P48" s="1">
        <v>2</v>
      </c>
      <c r="Q48" s="1">
        <v>0</v>
      </c>
      <c r="R48" s="1">
        <v>0</v>
      </c>
      <c r="S48" s="1">
        <v>0</v>
      </c>
      <c r="T48" s="1">
        <v>0</v>
      </c>
      <c r="U48" s="1">
        <v>2</v>
      </c>
      <c r="V48" s="1">
        <v>0</v>
      </c>
      <c r="W48" s="1">
        <v>2</v>
      </c>
      <c r="X48" s="1">
        <v>0</v>
      </c>
      <c r="Y48" s="1">
        <v>2</v>
      </c>
      <c r="Z48" s="1">
        <v>0</v>
      </c>
      <c r="AA48" s="1">
        <v>0</v>
      </c>
      <c r="AB48" s="1">
        <v>0</v>
      </c>
      <c r="AC48" s="1">
        <v>2</v>
      </c>
      <c r="AD48" s="1">
        <v>0</v>
      </c>
      <c r="AE48" s="1">
        <v>0</v>
      </c>
      <c r="AF48" s="1">
        <v>0</v>
      </c>
      <c r="AG48" s="53" t="s">
        <v>102</v>
      </c>
      <c r="AH48" s="53">
        <v>2</v>
      </c>
    </row>
    <row r="49" s="1" customFormat="1" ht="15.75" customHeight="1" spans="1:34">
      <c r="A49" s="48" t="s">
        <v>277</v>
      </c>
      <c r="B49" s="49" t="s">
        <v>116</v>
      </c>
      <c r="C49" s="56">
        <v>8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2</v>
      </c>
      <c r="K49" s="1">
        <v>2</v>
      </c>
      <c r="L49" s="1">
        <v>0</v>
      </c>
      <c r="M49" s="1">
        <v>0</v>
      </c>
      <c r="N49" s="1">
        <v>0</v>
      </c>
      <c r="O49" s="1">
        <v>0</v>
      </c>
      <c r="P49" s="1">
        <v>2</v>
      </c>
      <c r="Q49" s="1">
        <v>0</v>
      </c>
      <c r="R49" s="1">
        <v>0</v>
      </c>
      <c r="S49" s="1">
        <v>0</v>
      </c>
      <c r="T49" s="1">
        <v>0</v>
      </c>
      <c r="U49" s="1">
        <v>2</v>
      </c>
      <c r="V49" s="1">
        <v>0</v>
      </c>
      <c r="W49" s="1">
        <v>2</v>
      </c>
      <c r="X49" s="1">
        <v>0</v>
      </c>
      <c r="Y49" s="1">
        <v>2</v>
      </c>
      <c r="Z49" s="1">
        <v>0</v>
      </c>
      <c r="AA49" s="1">
        <v>0</v>
      </c>
      <c r="AB49" s="1">
        <v>0</v>
      </c>
      <c r="AC49" s="1">
        <v>2</v>
      </c>
      <c r="AD49" s="1">
        <v>0</v>
      </c>
      <c r="AE49" s="1">
        <v>0</v>
      </c>
      <c r="AF49" s="1">
        <v>0</v>
      </c>
      <c r="AG49" s="53" t="s">
        <v>102</v>
      </c>
      <c r="AH49" s="53">
        <v>2</v>
      </c>
    </row>
    <row r="50" spans="1:34">
      <c r="D50" s="2">
        <f t="shared" ref="D50:I50" si="0">SUM(D4:D49)</f>
        <v>0</v>
      </c>
      <c r="E50" s="2">
        <f t="shared" si="0"/>
        <v>6</v>
      </c>
      <c r="F50" s="2">
        <f t="shared" si="0"/>
        <v>76</v>
      </c>
      <c r="G50" s="2">
        <f t="shared" si="0"/>
        <v>14</v>
      </c>
      <c r="H50" s="2">
        <f t="shared" si="0"/>
        <v>0</v>
      </c>
      <c r="I50" s="2">
        <f t="shared" si="0"/>
        <v>0</v>
      </c>
      <c r="J50" s="2">
        <f t="shared" ref="J50:AF50" si="1">SUM(J4:J49)</f>
        <v>34</v>
      </c>
      <c r="K50" s="2">
        <f t="shared" si="1"/>
        <v>16</v>
      </c>
      <c r="L50" s="2">
        <f t="shared" si="1"/>
        <v>7</v>
      </c>
      <c r="M50" s="2">
        <f t="shared" si="1"/>
        <v>3</v>
      </c>
      <c r="N50" s="2">
        <f t="shared" si="1"/>
        <v>112</v>
      </c>
      <c r="O50" s="2">
        <f t="shared" si="1"/>
        <v>136</v>
      </c>
      <c r="P50" s="2">
        <f t="shared" si="1"/>
        <v>30</v>
      </c>
      <c r="Q50" s="2">
        <f t="shared" si="1"/>
        <v>0</v>
      </c>
      <c r="R50" s="2">
        <f t="shared" si="1"/>
        <v>0</v>
      </c>
      <c r="S50" s="2">
        <f t="shared" si="1"/>
        <v>6</v>
      </c>
      <c r="T50" s="2">
        <f t="shared" si="1"/>
        <v>9</v>
      </c>
      <c r="U50" s="2">
        <f t="shared" si="1"/>
        <v>31</v>
      </c>
      <c r="V50" s="2">
        <f t="shared" si="1"/>
        <v>0</v>
      </c>
      <c r="W50" s="2">
        <f t="shared" si="1"/>
        <v>172</v>
      </c>
      <c r="X50" s="2">
        <f t="shared" si="1"/>
        <v>0</v>
      </c>
      <c r="Y50" s="2">
        <f t="shared" si="1"/>
        <v>12</v>
      </c>
      <c r="Z50" s="2">
        <f t="shared" si="1"/>
        <v>90</v>
      </c>
      <c r="AA50" s="2">
        <f t="shared" si="1"/>
        <v>0</v>
      </c>
      <c r="AB50" s="2">
        <f t="shared" si="1"/>
        <v>0</v>
      </c>
      <c r="AC50" s="2">
        <f t="shared" si="1"/>
        <v>12</v>
      </c>
      <c r="AD50" s="2">
        <f t="shared" si="1"/>
        <v>0</v>
      </c>
      <c r="AE50" s="2">
        <f t="shared" si="1"/>
        <v>0</v>
      </c>
      <c r="AF50" s="2">
        <f t="shared" si="1"/>
        <v>8</v>
      </c>
      <c r="AH50" s="2">
        <f>SUM(AH4:AH49)</f>
        <v>130</v>
      </c>
    </row>
    <row r="52" spans="1:34">
      <c r="A52" s="31" t="s">
        <v>208</v>
      </c>
      <c r="B52" s="32"/>
      <c r="C52" s="32"/>
      <c r="D52" s="32"/>
      <c r="E52" s="17"/>
    </row>
    <row r="53" spans="1:34">
      <c r="A53" s="31" t="s">
        <v>209</v>
      </c>
      <c r="B53" s="31">
        <f>AH50</f>
        <v>130</v>
      </c>
      <c r="C53" s="31"/>
      <c r="D53" s="31"/>
      <c r="E53" s="17"/>
    </row>
    <row r="54" spans="1:34">
      <c r="A54" s="31" t="s">
        <v>210</v>
      </c>
      <c r="B54" s="31" t="s">
        <v>102</v>
      </c>
      <c r="C54" s="31"/>
      <c r="D54" s="31">
        <v>127</v>
      </c>
      <c r="E54" s="57"/>
    </row>
    <row r="55" spans="1:34">
      <c r="A55" s="31"/>
      <c r="B55" s="31" t="s">
        <v>103</v>
      </c>
      <c r="C55" s="31"/>
      <c r="D55" s="31">
        <v>3</v>
      </c>
      <c r="E55" s="57"/>
    </row>
    <row r="56" spans="1:34">
      <c r="A56" s="31" t="s">
        <v>211</v>
      </c>
      <c r="B56" s="31">
        <v>65</v>
      </c>
      <c r="C56" s="17"/>
      <c r="D56" s="32"/>
      <c r="E56" s="32"/>
    </row>
    <row r="57" spans="1:34">
      <c r="A57" s="31" t="s">
        <v>212</v>
      </c>
      <c r="B57" s="31" t="s">
        <v>213</v>
      </c>
      <c r="C57" s="31"/>
      <c r="D57" s="31">
        <v>63</v>
      </c>
      <c r="E57" s="58">
        <f>1.05*1.05*1.15*D57</f>
        <v>79.876125</v>
      </c>
    </row>
    <row r="58" spans="1:34">
      <c r="A58" s="31"/>
      <c r="B58" s="31" t="s">
        <v>214</v>
      </c>
      <c r="C58" s="31"/>
      <c r="D58" s="31">
        <v>1</v>
      </c>
      <c r="E58" s="58">
        <f>1.05*1.05*0.65*D58</f>
        <v>0.716625</v>
      </c>
    </row>
    <row r="59" spans="1:34">
      <c r="A59" s="31"/>
      <c r="B59" s="31" t="s">
        <v>215</v>
      </c>
      <c r="C59" s="31"/>
      <c r="D59" s="31">
        <v>1</v>
      </c>
      <c r="E59" s="58">
        <f>1.5*0.75*1.15*D59</f>
        <v>1.29375</v>
      </c>
    </row>
    <row r="60" spans="1:34">
      <c r="A60" s="31"/>
      <c r="B60" s="31" t="s">
        <v>216</v>
      </c>
      <c r="C60" s="31"/>
      <c r="D60" s="31">
        <v>0</v>
      </c>
      <c r="E60" s="58">
        <f>1.5*0.75*0.65*D60</f>
        <v>0</v>
      </c>
    </row>
    <row r="61" spans="1:34">
      <c r="A61" s="31" t="s">
        <v>217</v>
      </c>
      <c r="B61" s="34">
        <f>SUM(E57:E60)</f>
        <v>81.8865</v>
      </c>
      <c r="C61" s="17"/>
      <c r="D61" s="31"/>
      <c r="E61" s="59"/>
    </row>
    <row r="62" spans="1:34">
      <c r="A62" s="31" t="s">
        <v>218</v>
      </c>
      <c r="B62" s="36">
        <f>Batch_01_GW!Q41</f>
        <v>21869.84</v>
      </c>
      <c r="C62" s="17"/>
      <c r="D62" s="32"/>
      <c r="E62" s="32"/>
    </row>
  </sheetData>
  <autoFilter xmlns:etc="http://www.wps.cn/officeDocument/2017/etCustomData" ref="B1:B49" etc:filterBottomFollowUsedRange="0">
    <extLst/>
  </autoFilter>
  <mergeCells count="11">
    <mergeCell ref="B54:C54"/>
    <mergeCell ref="B55:C55"/>
    <mergeCell ref="B57:C57"/>
    <mergeCell ref="B58:C58"/>
    <mergeCell ref="B59:C59"/>
    <mergeCell ref="B60:C60"/>
    <mergeCell ref="A1:A3"/>
    <mergeCell ref="B1:B3"/>
    <mergeCell ref="C1:C3"/>
    <mergeCell ref="AG1:AG3"/>
    <mergeCell ref="AH1:AH3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zoomScale="85" zoomScaleNormal="85" workbookViewId="0">
      <pane xSplit="2" ySplit="3" topLeftCell="C58" activePane="bottomRight" state="frozen"/>
      <selection/>
      <selection pane="topRight"/>
      <selection pane="bottomLeft"/>
      <selection pane="bottomRight" activeCell="J87" sqref="J87"/>
    </sheetView>
  </sheetViews>
  <sheetFormatPr defaultColWidth="9" defaultRowHeight="15"/>
  <cols>
    <col min="1" max="1" width="13.6666666666667" style="2" customWidth="1"/>
    <col min="2" max="9" width="8.66666666666667" style="2" customWidth="1"/>
    <col min="10" max="10" width="11.2666666666667" style="2" customWidth="1"/>
    <col min="11" max="16384" width="9" style="2"/>
  </cols>
  <sheetData>
    <row r="1" spans="1:11">
      <c r="A1" s="11" t="s">
        <v>0</v>
      </c>
      <c r="B1" s="12" t="s">
        <v>1</v>
      </c>
      <c r="C1" s="13" t="s">
        <v>4</v>
      </c>
      <c r="D1" s="13" t="s">
        <v>4</v>
      </c>
      <c r="E1" s="13" t="s">
        <v>4</v>
      </c>
      <c r="F1" s="13" t="s">
        <v>4</v>
      </c>
      <c r="G1" s="13" t="s">
        <v>4</v>
      </c>
      <c r="H1" s="13" t="s">
        <v>4</v>
      </c>
      <c r="I1" s="60" t="s">
        <v>4</v>
      </c>
      <c r="J1" s="19" t="s">
        <v>6</v>
      </c>
      <c r="K1" s="19" t="s">
        <v>9</v>
      </c>
    </row>
    <row r="2" ht="16.5" customHeight="1" spans="1:11">
      <c r="A2" s="11"/>
      <c r="B2" s="12"/>
      <c r="C2" s="13" t="s">
        <v>39</v>
      </c>
      <c r="D2" s="13" t="s">
        <v>40</v>
      </c>
      <c r="E2" s="13" t="s">
        <v>41</v>
      </c>
      <c r="F2" s="13" t="s">
        <v>42</v>
      </c>
      <c r="G2" s="13" t="s">
        <v>43</v>
      </c>
      <c r="H2" s="13" t="s">
        <v>44</v>
      </c>
      <c r="I2" s="60" t="s">
        <v>45</v>
      </c>
      <c r="J2" s="20"/>
      <c r="K2" s="20"/>
    </row>
    <row r="3" spans="1:11">
      <c r="A3" s="11"/>
      <c r="B3" s="12"/>
      <c r="C3" s="22">
        <v>30</v>
      </c>
      <c r="D3" s="22">
        <v>72</v>
      </c>
      <c r="E3" s="22">
        <v>112</v>
      </c>
      <c r="F3" s="22">
        <v>152</v>
      </c>
      <c r="G3" s="22">
        <v>192</v>
      </c>
      <c r="H3" s="22">
        <v>232</v>
      </c>
      <c r="I3" s="61">
        <v>272</v>
      </c>
      <c r="J3" s="23"/>
      <c r="K3" s="23"/>
    </row>
    <row r="4" s="1" customFormat="1" spans="1:11">
      <c r="A4" s="48" t="s">
        <v>221</v>
      </c>
      <c r="B4" s="49" t="s">
        <v>222</v>
      </c>
      <c r="C4" s="51">
        <v>2</v>
      </c>
      <c r="D4" s="62">
        <v>4</v>
      </c>
      <c r="E4" s="62">
        <v>4</v>
      </c>
      <c r="F4" s="62"/>
      <c r="G4" s="62"/>
      <c r="H4" s="56"/>
      <c r="I4" s="63"/>
      <c r="J4" s="64" t="s">
        <v>103</v>
      </c>
      <c r="K4" s="64">
        <v>1</v>
      </c>
    </row>
    <row r="5" s="1" customFormat="1" spans="1:11">
      <c r="A5" s="48" t="s">
        <v>223</v>
      </c>
      <c r="B5" s="49" t="s">
        <v>224</v>
      </c>
      <c r="C5" s="51">
        <v>2</v>
      </c>
      <c r="D5" s="62">
        <v>4</v>
      </c>
      <c r="E5" s="62">
        <v>4</v>
      </c>
      <c r="F5" s="62">
        <v>2</v>
      </c>
      <c r="G5" s="62"/>
      <c r="H5" s="56"/>
      <c r="I5" s="63"/>
      <c r="J5" s="64" t="s">
        <v>103</v>
      </c>
      <c r="K5" s="64">
        <v>1</v>
      </c>
    </row>
    <row r="6" s="1" customFormat="1" spans="1:11">
      <c r="A6" s="48" t="s">
        <v>225</v>
      </c>
      <c r="B6" s="49" t="s">
        <v>226</v>
      </c>
      <c r="C6" s="51">
        <v>2</v>
      </c>
      <c r="D6" s="62">
        <v>4</v>
      </c>
      <c r="E6" s="62"/>
      <c r="F6" s="62"/>
      <c r="G6" s="62"/>
      <c r="H6" s="56"/>
      <c r="I6" s="63"/>
      <c r="J6" s="64" t="s">
        <v>102</v>
      </c>
      <c r="K6" s="64">
        <v>1</v>
      </c>
    </row>
    <row r="7" s="1" customFormat="1" spans="1:11">
      <c r="A7" s="48" t="s">
        <v>227</v>
      </c>
      <c r="B7" s="49" t="s">
        <v>228</v>
      </c>
      <c r="C7" s="51">
        <v>2</v>
      </c>
      <c r="D7" s="62">
        <v>4</v>
      </c>
      <c r="E7" s="62">
        <v>4</v>
      </c>
      <c r="F7" s="62">
        <v>2</v>
      </c>
      <c r="G7" s="62"/>
      <c r="H7" s="56"/>
      <c r="I7" s="63"/>
      <c r="J7" s="64"/>
      <c r="K7" s="64"/>
    </row>
    <row r="8" s="1" customFormat="1" spans="1:11">
      <c r="A8" s="48" t="s">
        <v>229</v>
      </c>
      <c r="B8" s="49" t="s">
        <v>230</v>
      </c>
      <c r="C8" s="51">
        <v>2</v>
      </c>
      <c r="D8" s="62">
        <v>4</v>
      </c>
      <c r="E8" s="62">
        <v>4</v>
      </c>
      <c r="F8" s="62">
        <v>2</v>
      </c>
      <c r="G8" s="62"/>
      <c r="H8" s="56"/>
      <c r="I8" s="63"/>
      <c r="J8" s="64"/>
      <c r="K8" s="64"/>
    </row>
    <row r="9" s="1" customFormat="1" spans="1:11">
      <c r="A9" s="48" t="s">
        <v>231</v>
      </c>
      <c r="B9" s="49" t="s">
        <v>230</v>
      </c>
      <c r="C9" s="51">
        <v>2</v>
      </c>
      <c r="D9" s="62">
        <v>4</v>
      </c>
      <c r="E9" s="62">
        <v>4</v>
      </c>
      <c r="F9" s="62">
        <v>2</v>
      </c>
      <c r="G9" s="62"/>
      <c r="H9" s="56"/>
      <c r="I9" s="63"/>
      <c r="J9" s="64" t="s">
        <v>102</v>
      </c>
      <c r="K9" s="64">
        <v>1</v>
      </c>
    </row>
    <row r="10" s="1" customFormat="1" spans="1:11">
      <c r="A10" s="48" t="s">
        <v>232</v>
      </c>
      <c r="B10" s="49" t="s">
        <v>230</v>
      </c>
      <c r="C10" s="51">
        <v>2</v>
      </c>
      <c r="D10" s="62">
        <v>4</v>
      </c>
      <c r="E10" s="62">
        <v>4</v>
      </c>
      <c r="F10" s="62">
        <v>2</v>
      </c>
      <c r="G10" s="62"/>
      <c r="H10" s="56"/>
      <c r="I10" s="63"/>
      <c r="J10" s="64"/>
      <c r="K10" s="64"/>
    </row>
    <row r="11" s="1" customFormat="1" spans="1:11">
      <c r="A11" s="48" t="s">
        <v>278</v>
      </c>
      <c r="B11" s="49" t="s">
        <v>101</v>
      </c>
      <c r="C11" s="51">
        <v>4</v>
      </c>
      <c r="D11" s="62">
        <v>8</v>
      </c>
      <c r="E11" s="62"/>
      <c r="F11" s="62"/>
      <c r="G11" s="62"/>
      <c r="H11" s="56"/>
      <c r="I11" s="63"/>
      <c r="J11" s="64"/>
      <c r="K11" s="64"/>
    </row>
    <row r="12" s="1" customFormat="1" spans="1:11">
      <c r="A12" s="48" t="s">
        <v>279</v>
      </c>
      <c r="B12" s="49" t="s">
        <v>101</v>
      </c>
      <c r="C12" s="51">
        <v>4</v>
      </c>
      <c r="D12" s="62">
        <v>8</v>
      </c>
      <c r="E12" s="62"/>
      <c r="F12" s="62"/>
      <c r="G12" s="62"/>
      <c r="H12" s="56"/>
      <c r="I12" s="63"/>
      <c r="J12" s="64" t="s">
        <v>103</v>
      </c>
      <c r="K12" s="64">
        <v>1</v>
      </c>
    </row>
    <row r="13" s="1" customFormat="1" spans="1:11">
      <c r="A13" s="48" t="s">
        <v>280</v>
      </c>
      <c r="B13" s="49" t="s">
        <v>101</v>
      </c>
      <c r="C13" s="51">
        <v>4</v>
      </c>
      <c r="D13" s="62">
        <v>8</v>
      </c>
      <c r="E13" s="62"/>
      <c r="F13" s="62"/>
      <c r="G13" s="62"/>
      <c r="H13" s="56"/>
      <c r="I13" s="63"/>
      <c r="J13" s="64"/>
      <c r="K13" s="64"/>
    </row>
    <row r="14" s="1" customFormat="1" spans="1:11">
      <c r="A14" s="48" t="s">
        <v>233</v>
      </c>
      <c r="B14" s="49" t="s">
        <v>234</v>
      </c>
      <c r="C14" s="51">
        <v>2</v>
      </c>
      <c r="D14" s="62">
        <v>4</v>
      </c>
      <c r="E14" s="62">
        <v>4</v>
      </c>
      <c r="F14" s="62">
        <v>2</v>
      </c>
      <c r="G14" s="62"/>
      <c r="H14" s="56"/>
      <c r="I14" s="63"/>
      <c r="J14" s="64" t="s">
        <v>103</v>
      </c>
      <c r="K14" s="64">
        <v>1</v>
      </c>
    </row>
    <row r="15" s="1" customFormat="1" spans="1:11">
      <c r="A15" s="48" t="s">
        <v>235</v>
      </c>
      <c r="B15" s="49" t="s">
        <v>236</v>
      </c>
      <c r="C15" s="51">
        <v>2</v>
      </c>
      <c r="D15" s="62">
        <v>4</v>
      </c>
      <c r="E15" s="62">
        <v>4</v>
      </c>
      <c r="F15" s="62">
        <v>2</v>
      </c>
      <c r="G15" s="62"/>
      <c r="H15" s="56"/>
      <c r="I15" s="63"/>
      <c r="J15" s="64" t="s">
        <v>103</v>
      </c>
      <c r="K15" s="64">
        <v>1</v>
      </c>
    </row>
    <row r="16" s="1" customFormat="1" spans="1:11">
      <c r="A16" s="48" t="s">
        <v>237</v>
      </c>
      <c r="B16" s="49" t="s">
        <v>236</v>
      </c>
      <c r="C16" s="51">
        <v>2</v>
      </c>
      <c r="D16" s="62">
        <v>4</v>
      </c>
      <c r="E16" s="62">
        <v>4</v>
      </c>
      <c r="F16" s="62">
        <v>2</v>
      </c>
      <c r="G16" s="62"/>
      <c r="H16" s="56"/>
      <c r="I16" s="63"/>
      <c r="J16" s="64" t="s">
        <v>103</v>
      </c>
      <c r="K16" s="64">
        <v>1</v>
      </c>
    </row>
    <row r="17" s="1" customFormat="1" spans="1:11">
      <c r="A17" s="48" t="s">
        <v>238</v>
      </c>
      <c r="B17" s="49" t="s">
        <v>118</v>
      </c>
      <c r="C17" s="51">
        <v>4</v>
      </c>
      <c r="D17" s="62">
        <v>4</v>
      </c>
      <c r="E17" s="62"/>
      <c r="F17" s="62"/>
      <c r="G17" s="62"/>
      <c r="H17" s="56"/>
      <c r="I17" s="63"/>
      <c r="J17" s="64" t="s">
        <v>103</v>
      </c>
      <c r="K17" s="64">
        <v>1</v>
      </c>
    </row>
    <row r="18" s="1" customFormat="1" spans="1:11">
      <c r="A18" s="48" t="s">
        <v>239</v>
      </c>
      <c r="B18" s="49" t="s">
        <v>118</v>
      </c>
      <c r="C18" s="51">
        <v>4</v>
      </c>
      <c r="D18" s="62">
        <v>4</v>
      </c>
      <c r="E18" s="62"/>
      <c r="F18" s="62"/>
      <c r="G18" s="62"/>
      <c r="H18" s="56"/>
      <c r="I18" s="63"/>
      <c r="J18" s="64"/>
      <c r="K18" s="64"/>
    </row>
    <row r="19" s="1" customFormat="1" spans="1:11">
      <c r="A19" s="48" t="s">
        <v>281</v>
      </c>
      <c r="B19" s="49" t="s">
        <v>101</v>
      </c>
      <c r="C19" s="51">
        <v>4</v>
      </c>
      <c r="D19" s="62">
        <v>8</v>
      </c>
      <c r="E19" s="62"/>
      <c r="F19" s="62"/>
      <c r="G19" s="62"/>
      <c r="H19" s="56"/>
      <c r="I19" s="63"/>
      <c r="J19" s="64" t="s">
        <v>103</v>
      </c>
      <c r="K19" s="64">
        <v>1</v>
      </c>
    </row>
    <row r="20" s="1" customFormat="1" spans="1:11">
      <c r="A20" s="48" t="s">
        <v>282</v>
      </c>
      <c r="B20" s="49" t="s">
        <v>101</v>
      </c>
      <c r="C20" s="51">
        <v>4</v>
      </c>
      <c r="D20" s="62">
        <v>8</v>
      </c>
      <c r="E20" s="62"/>
      <c r="F20" s="62"/>
      <c r="G20" s="62"/>
      <c r="H20" s="56"/>
      <c r="I20" s="63"/>
      <c r="J20" s="64"/>
      <c r="K20" s="64"/>
    </row>
    <row r="21" s="1" customFormat="1" spans="1:11">
      <c r="A21" s="48" t="s">
        <v>240</v>
      </c>
      <c r="B21" s="49" t="s">
        <v>147</v>
      </c>
      <c r="C21" s="51">
        <v>1</v>
      </c>
      <c r="D21" s="62">
        <v>2</v>
      </c>
      <c r="E21" s="62">
        <v>2</v>
      </c>
      <c r="F21" s="62">
        <v>2</v>
      </c>
      <c r="G21" s="62"/>
      <c r="H21" s="56"/>
      <c r="I21" s="63"/>
      <c r="J21" s="64" t="s">
        <v>103</v>
      </c>
      <c r="K21" s="64">
        <v>1</v>
      </c>
    </row>
    <row r="22" s="1" customFormat="1" spans="1:11">
      <c r="A22" s="48" t="s">
        <v>241</v>
      </c>
      <c r="B22" s="49" t="s">
        <v>147</v>
      </c>
      <c r="C22" s="51">
        <v>1</v>
      </c>
      <c r="D22" s="62">
        <v>2</v>
      </c>
      <c r="E22" s="62">
        <v>2</v>
      </c>
      <c r="F22" s="62">
        <v>2</v>
      </c>
      <c r="G22" s="62"/>
      <c r="H22" s="56"/>
      <c r="I22" s="63"/>
      <c r="J22" s="64"/>
      <c r="K22" s="64">
        <v>1</v>
      </c>
    </row>
    <row r="23" s="1" customFormat="1" spans="1:11">
      <c r="A23" s="48" t="s">
        <v>242</v>
      </c>
      <c r="B23" s="49" t="s">
        <v>243</v>
      </c>
      <c r="C23" s="51">
        <v>3</v>
      </c>
      <c r="D23" s="62">
        <v>6</v>
      </c>
      <c r="E23" s="62">
        <v>3</v>
      </c>
      <c r="F23" s="62"/>
      <c r="G23" s="62"/>
      <c r="H23" s="56"/>
      <c r="I23" s="63"/>
      <c r="J23" s="64" t="s">
        <v>102</v>
      </c>
      <c r="K23" s="64">
        <v>1</v>
      </c>
    </row>
    <row r="24" s="1" customFormat="1" spans="1:11">
      <c r="A24" s="48" t="s">
        <v>244</v>
      </c>
      <c r="B24" s="49" t="s">
        <v>243</v>
      </c>
      <c r="C24" s="51">
        <v>3</v>
      </c>
      <c r="D24" s="62">
        <v>6</v>
      </c>
      <c r="E24" s="62">
        <v>3</v>
      </c>
      <c r="F24" s="62"/>
      <c r="G24" s="62"/>
      <c r="H24" s="56"/>
      <c r="I24" s="63"/>
      <c r="J24" s="64"/>
      <c r="K24" s="64"/>
    </row>
    <row r="25" s="1" customFormat="1" spans="1:11">
      <c r="A25" s="48" t="s">
        <v>245</v>
      </c>
      <c r="B25" s="49" t="s">
        <v>243</v>
      </c>
      <c r="C25" s="65">
        <v>3</v>
      </c>
      <c r="D25" s="65">
        <v>6</v>
      </c>
      <c r="E25" s="62">
        <v>3</v>
      </c>
      <c r="F25" s="62"/>
      <c r="G25" s="62"/>
      <c r="H25" s="56"/>
      <c r="I25" s="63"/>
      <c r="J25" s="64"/>
      <c r="K25" s="64">
        <v>1</v>
      </c>
    </row>
    <row r="26" s="1" customFormat="1" spans="1:11">
      <c r="A26" s="48" t="s">
        <v>246</v>
      </c>
      <c r="B26" s="49" t="s">
        <v>247</v>
      </c>
      <c r="C26" s="51">
        <v>3</v>
      </c>
      <c r="D26" s="62">
        <v>6</v>
      </c>
      <c r="E26" s="62">
        <v>3</v>
      </c>
      <c r="F26" s="62"/>
      <c r="G26" s="62"/>
      <c r="H26" s="56"/>
      <c r="I26" s="63"/>
      <c r="J26" s="64" t="s">
        <v>102</v>
      </c>
      <c r="K26" s="64">
        <v>1</v>
      </c>
    </row>
    <row r="27" s="1" customFormat="1" spans="1:11">
      <c r="A27" s="48" t="s">
        <v>248</v>
      </c>
      <c r="B27" s="49" t="s">
        <v>247</v>
      </c>
      <c r="C27" s="56">
        <v>3</v>
      </c>
      <c r="D27" s="56">
        <v>6</v>
      </c>
      <c r="E27" s="56">
        <v>3</v>
      </c>
      <c r="F27" s="56"/>
      <c r="G27" s="56"/>
      <c r="H27" s="56"/>
      <c r="I27" s="63"/>
      <c r="J27" s="64"/>
      <c r="K27" s="64"/>
    </row>
    <row r="28" s="1" customFormat="1" spans="1:11">
      <c r="A28" s="48" t="s">
        <v>249</v>
      </c>
      <c r="B28" s="49" t="s">
        <v>247</v>
      </c>
      <c r="C28" s="56">
        <v>3</v>
      </c>
      <c r="D28" s="56">
        <v>6</v>
      </c>
      <c r="E28" s="56">
        <v>3</v>
      </c>
      <c r="F28" s="56"/>
      <c r="G28" s="56"/>
      <c r="H28" s="56"/>
      <c r="I28" s="63"/>
      <c r="J28" s="64"/>
      <c r="K28" s="64">
        <v>1</v>
      </c>
    </row>
    <row r="29" s="1" customFormat="1" spans="1:11">
      <c r="A29" s="48" t="s">
        <v>250</v>
      </c>
      <c r="B29" s="49" t="s">
        <v>247</v>
      </c>
      <c r="C29" s="56">
        <v>3</v>
      </c>
      <c r="D29" s="56">
        <v>6</v>
      </c>
      <c r="E29" s="56">
        <v>3</v>
      </c>
      <c r="F29" s="56"/>
      <c r="G29" s="56"/>
      <c r="H29" s="56"/>
      <c r="I29" s="63"/>
      <c r="J29" s="64" t="s">
        <v>102</v>
      </c>
      <c r="K29" s="64">
        <v>1</v>
      </c>
    </row>
    <row r="30" s="1" customFormat="1" spans="1:11">
      <c r="A30" s="48" t="s">
        <v>283</v>
      </c>
      <c r="B30" s="49" t="s">
        <v>101</v>
      </c>
      <c r="C30" s="56">
        <v>4</v>
      </c>
      <c r="D30" s="56">
        <v>8</v>
      </c>
      <c r="E30" s="56"/>
      <c r="F30" s="56"/>
      <c r="G30" s="56"/>
      <c r="H30" s="56"/>
      <c r="I30" s="63"/>
      <c r="J30" s="64"/>
      <c r="K30" s="64"/>
    </row>
    <row r="31" s="1" customFormat="1" spans="1:11">
      <c r="A31" s="48" t="s">
        <v>284</v>
      </c>
      <c r="B31" s="49" t="s">
        <v>101</v>
      </c>
      <c r="C31" s="56">
        <v>4</v>
      </c>
      <c r="D31" s="56">
        <v>8</v>
      </c>
      <c r="E31" s="56"/>
      <c r="F31" s="56"/>
      <c r="G31" s="56"/>
      <c r="H31" s="56"/>
      <c r="I31" s="63"/>
      <c r="J31" s="64"/>
      <c r="K31" s="64"/>
    </row>
    <row r="32" s="1" customFormat="1" spans="1:11">
      <c r="A32" s="48" t="s">
        <v>285</v>
      </c>
      <c r="B32" s="49" t="s">
        <v>101</v>
      </c>
      <c r="C32" s="56">
        <v>4</v>
      </c>
      <c r="D32" s="56">
        <v>8</v>
      </c>
      <c r="E32" s="56"/>
      <c r="F32" s="56"/>
      <c r="G32" s="56"/>
      <c r="H32" s="56"/>
      <c r="I32" s="63"/>
      <c r="J32" s="64"/>
      <c r="K32" s="64"/>
    </row>
    <row r="33" s="1" customFormat="1" spans="1:11">
      <c r="A33" s="48" t="s">
        <v>286</v>
      </c>
      <c r="B33" s="49" t="s">
        <v>101</v>
      </c>
      <c r="C33" s="56">
        <v>4</v>
      </c>
      <c r="D33" s="56">
        <v>8</v>
      </c>
      <c r="E33" s="56"/>
      <c r="F33" s="56"/>
      <c r="G33" s="56"/>
      <c r="H33" s="56"/>
      <c r="I33" s="63"/>
      <c r="J33" s="64" t="s">
        <v>102</v>
      </c>
      <c r="K33" s="64">
        <v>1</v>
      </c>
    </row>
    <row r="34" s="1" customFormat="1" spans="1:11">
      <c r="A34" s="48" t="s">
        <v>251</v>
      </c>
      <c r="B34" s="49" t="s">
        <v>114</v>
      </c>
      <c r="C34" s="56">
        <v>4</v>
      </c>
      <c r="D34" s="56">
        <v>4</v>
      </c>
      <c r="E34" s="56"/>
      <c r="F34" s="56"/>
      <c r="G34" s="56"/>
      <c r="H34" s="56"/>
      <c r="I34" s="63"/>
      <c r="J34" s="64"/>
      <c r="K34" s="64"/>
    </row>
    <row r="35" s="1" customFormat="1" spans="1:11">
      <c r="A35" s="48" t="s">
        <v>252</v>
      </c>
      <c r="B35" s="49" t="s">
        <v>116</v>
      </c>
      <c r="C35" s="56">
        <v>4</v>
      </c>
      <c r="D35" s="56">
        <v>4</v>
      </c>
      <c r="E35" s="56"/>
      <c r="F35" s="56"/>
      <c r="G35" s="56"/>
      <c r="H35" s="56"/>
      <c r="I35" s="63"/>
      <c r="J35" s="64"/>
      <c r="K35" s="64"/>
    </row>
    <row r="36" s="1" customFormat="1" spans="1:11">
      <c r="A36" s="48" t="s">
        <v>287</v>
      </c>
      <c r="B36" s="49" t="s">
        <v>101</v>
      </c>
      <c r="C36" s="56">
        <v>4</v>
      </c>
      <c r="D36" s="56">
        <v>8</v>
      </c>
      <c r="E36" s="56"/>
      <c r="F36" s="56"/>
      <c r="G36" s="56"/>
      <c r="H36" s="56"/>
      <c r="I36" s="63"/>
      <c r="J36" s="64"/>
      <c r="K36" s="64"/>
    </row>
    <row r="37" s="1" customFormat="1" spans="1:11">
      <c r="A37" s="48" t="s">
        <v>288</v>
      </c>
      <c r="B37" s="49" t="s">
        <v>101</v>
      </c>
      <c r="C37" s="56">
        <v>4</v>
      </c>
      <c r="D37" s="56">
        <v>8</v>
      </c>
      <c r="E37" s="56"/>
      <c r="F37" s="56"/>
      <c r="G37" s="56"/>
      <c r="H37" s="56"/>
      <c r="I37" s="63"/>
      <c r="J37" s="64"/>
      <c r="K37" s="64"/>
    </row>
    <row r="38" s="1" customFormat="1" spans="1:11">
      <c r="A38" s="48" t="s">
        <v>289</v>
      </c>
      <c r="B38" s="49" t="s">
        <v>101</v>
      </c>
      <c r="C38" s="56">
        <v>4</v>
      </c>
      <c r="D38" s="56">
        <v>8</v>
      </c>
      <c r="E38" s="56"/>
      <c r="F38" s="56"/>
      <c r="G38" s="56"/>
      <c r="H38" s="56"/>
      <c r="I38" s="63"/>
      <c r="J38" s="64" t="s">
        <v>103</v>
      </c>
      <c r="K38" s="64">
        <v>1</v>
      </c>
    </row>
    <row r="39" s="1" customFormat="1" spans="1:11">
      <c r="A39" s="48" t="s">
        <v>290</v>
      </c>
      <c r="B39" s="49" t="s">
        <v>101</v>
      </c>
      <c r="C39" s="56">
        <v>4</v>
      </c>
      <c r="D39" s="56">
        <v>8</v>
      </c>
      <c r="E39" s="56"/>
      <c r="F39" s="56"/>
      <c r="G39" s="56"/>
      <c r="H39" s="56"/>
      <c r="I39" s="63"/>
      <c r="J39" s="64"/>
      <c r="K39" s="64">
        <v>1</v>
      </c>
    </row>
    <row r="40" s="1" customFormat="1" spans="1:11">
      <c r="A40" s="48" t="s">
        <v>253</v>
      </c>
      <c r="B40" s="49" t="s">
        <v>243</v>
      </c>
      <c r="C40" s="56">
        <v>3</v>
      </c>
      <c r="D40" s="56">
        <v>6</v>
      </c>
      <c r="E40" s="56">
        <v>3</v>
      </c>
      <c r="F40" s="56"/>
      <c r="G40" s="56"/>
      <c r="H40" s="56"/>
      <c r="I40" s="63"/>
      <c r="J40" s="64" t="s">
        <v>102</v>
      </c>
      <c r="K40" s="64">
        <v>1</v>
      </c>
    </row>
    <row r="41" s="1" customFormat="1" spans="1:11">
      <c r="A41" s="48" t="s">
        <v>254</v>
      </c>
      <c r="B41" s="49" t="s">
        <v>243</v>
      </c>
      <c r="C41" s="56">
        <v>3</v>
      </c>
      <c r="D41" s="56">
        <v>6</v>
      </c>
      <c r="E41" s="56">
        <v>3</v>
      </c>
      <c r="F41" s="56"/>
      <c r="G41" s="56"/>
      <c r="H41" s="56"/>
      <c r="I41" s="63"/>
      <c r="J41" s="64"/>
      <c r="K41" s="64"/>
    </row>
    <row r="42" s="1" customFormat="1" spans="1:11">
      <c r="A42" s="48" t="s">
        <v>255</v>
      </c>
      <c r="B42" s="49" t="s">
        <v>243</v>
      </c>
      <c r="C42" s="56">
        <v>3</v>
      </c>
      <c r="D42" s="56">
        <v>6</v>
      </c>
      <c r="E42" s="56">
        <v>3</v>
      </c>
      <c r="F42" s="56"/>
      <c r="G42" s="56"/>
      <c r="H42" s="56"/>
      <c r="I42" s="63"/>
      <c r="J42" s="64"/>
      <c r="K42" s="64"/>
    </row>
    <row r="43" s="1" customFormat="1" spans="1:11">
      <c r="A43" s="48" t="s">
        <v>256</v>
      </c>
      <c r="B43" s="49" t="s">
        <v>247</v>
      </c>
      <c r="C43" s="56">
        <v>3</v>
      </c>
      <c r="D43" s="56">
        <v>6</v>
      </c>
      <c r="E43" s="56">
        <v>3</v>
      </c>
      <c r="F43" s="56"/>
      <c r="G43" s="56"/>
      <c r="H43" s="56"/>
      <c r="I43" s="63"/>
      <c r="J43" s="64"/>
      <c r="K43" s="64">
        <v>1</v>
      </c>
    </row>
    <row r="44" s="1" customFormat="1" spans="1:11">
      <c r="A44" s="48" t="s">
        <v>257</v>
      </c>
      <c r="B44" s="49" t="s">
        <v>247</v>
      </c>
      <c r="C44" s="56">
        <v>3</v>
      </c>
      <c r="D44" s="56">
        <v>6</v>
      </c>
      <c r="E44" s="56">
        <v>3</v>
      </c>
      <c r="F44" s="56"/>
      <c r="G44" s="56"/>
      <c r="H44" s="56"/>
      <c r="I44" s="63"/>
      <c r="J44" s="64" t="s">
        <v>102</v>
      </c>
      <c r="K44" s="64">
        <v>1</v>
      </c>
    </row>
    <row r="45" s="1" customFormat="1" spans="1:11">
      <c r="A45" s="48" t="s">
        <v>258</v>
      </c>
      <c r="B45" s="49" t="s">
        <v>247</v>
      </c>
      <c r="C45" s="56">
        <v>3</v>
      </c>
      <c r="D45" s="56">
        <v>6</v>
      </c>
      <c r="E45" s="56">
        <v>3</v>
      </c>
      <c r="F45" s="56"/>
      <c r="G45" s="56"/>
      <c r="H45" s="56"/>
      <c r="I45" s="63"/>
      <c r="J45" s="64"/>
      <c r="K45" s="64"/>
    </row>
    <row r="46" s="1" customFormat="1" spans="1:11">
      <c r="A46" s="48" t="s">
        <v>259</v>
      </c>
      <c r="B46" s="49" t="s">
        <v>247</v>
      </c>
      <c r="C46" s="56">
        <v>3</v>
      </c>
      <c r="D46" s="56">
        <v>6</v>
      </c>
      <c r="E46" s="56">
        <v>3</v>
      </c>
      <c r="F46" s="56"/>
      <c r="G46" s="56"/>
      <c r="H46" s="56"/>
      <c r="I46" s="63"/>
      <c r="J46" s="64"/>
      <c r="K46" s="64"/>
    </row>
    <row r="47" s="1" customFormat="1" spans="1:11">
      <c r="A47" s="48" t="s">
        <v>291</v>
      </c>
      <c r="B47" s="49" t="s">
        <v>101</v>
      </c>
      <c r="C47" s="56">
        <v>4</v>
      </c>
      <c r="D47" s="56">
        <v>8</v>
      </c>
      <c r="E47" s="56"/>
      <c r="F47" s="56"/>
      <c r="G47" s="56"/>
      <c r="H47" s="56"/>
      <c r="I47" s="63"/>
      <c r="J47" s="64"/>
      <c r="K47" s="64">
        <v>1</v>
      </c>
    </row>
    <row r="48" s="1" customFormat="1" spans="1:11">
      <c r="A48" s="48" t="s">
        <v>292</v>
      </c>
      <c r="B48" s="49" t="s">
        <v>101</v>
      </c>
      <c r="C48" s="56">
        <v>4</v>
      </c>
      <c r="D48" s="56">
        <v>8</v>
      </c>
      <c r="E48" s="56"/>
      <c r="F48" s="56"/>
      <c r="G48" s="56"/>
      <c r="H48" s="56"/>
      <c r="I48" s="63"/>
      <c r="J48" s="64" t="s">
        <v>103</v>
      </c>
      <c r="K48" s="64">
        <v>1</v>
      </c>
    </row>
    <row r="49" s="1" customFormat="1" spans="1:11">
      <c r="A49" s="48" t="s">
        <v>293</v>
      </c>
      <c r="B49" s="49" t="s">
        <v>101</v>
      </c>
      <c r="C49" s="56">
        <v>4</v>
      </c>
      <c r="D49" s="56">
        <v>8</v>
      </c>
      <c r="E49" s="56"/>
      <c r="F49" s="56"/>
      <c r="G49" s="56"/>
      <c r="H49" s="56"/>
      <c r="I49" s="63"/>
      <c r="J49" s="64"/>
      <c r="K49" s="64">
        <v>1</v>
      </c>
    </row>
    <row r="50" s="1" customFormat="1" spans="1:11">
      <c r="A50" s="48" t="s">
        <v>294</v>
      </c>
      <c r="B50" s="49" t="s">
        <v>101</v>
      </c>
      <c r="C50" s="56">
        <v>4</v>
      </c>
      <c r="D50" s="56">
        <v>8</v>
      </c>
      <c r="E50" s="56"/>
      <c r="F50" s="56"/>
      <c r="G50" s="56"/>
      <c r="H50" s="56"/>
      <c r="I50" s="63"/>
      <c r="J50" s="64" t="s">
        <v>102</v>
      </c>
      <c r="K50" s="64">
        <v>1</v>
      </c>
    </row>
    <row r="51" s="1" customFormat="1" spans="1:11">
      <c r="A51" s="48" t="s">
        <v>260</v>
      </c>
      <c r="B51" s="49" t="s">
        <v>114</v>
      </c>
      <c r="C51" s="56">
        <v>4</v>
      </c>
      <c r="D51" s="56">
        <v>4</v>
      </c>
      <c r="E51" s="56"/>
      <c r="F51" s="56"/>
      <c r="G51" s="56"/>
      <c r="H51" s="56"/>
      <c r="I51" s="63"/>
      <c r="J51" s="64"/>
      <c r="K51" s="64"/>
    </row>
    <row r="52" s="1" customFormat="1" spans="1:11">
      <c r="A52" s="48" t="s">
        <v>261</v>
      </c>
      <c r="B52" s="49" t="s">
        <v>116</v>
      </c>
      <c r="C52" s="56">
        <v>4</v>
      </c>
      <c r="D52" s="56">
        <v>4</v>
      </c>
      <c r="E52" s="56"/>
      <c r="F52" s="56"/>
      <c r="G52" s="56"/>
      <c r="H52" s="56"/>
      <c r="I52" s="63"/>
      <c r="J52" s="64"/>
      <c r="K52" s="64"/>
    </row>
    <row r="53" s="1" customFormat="1" spans="1:11">
      <c r="A53" s="48" t="s">
        <v>295</v>
      </c>
      <c r="B53" s="49" t="s">
        <v>101</v>
      </c>
      <c r="C53" s="56">
        <v>4</v>
      </c>
      <c r="D53" s="56">
        <v>8</v>
      </c>
      <c r="E53" s="56"/>
      <c r="F53" s="56"/>
      <c r="G53" s="56"/>
      <c r="H53" s="56"/>
      <c r="I53" s="63"/>
      <c r="J53" s="64"/>
      <c r="K53" s="64"/>
    </row>
    <row r="54" s="1" customFormat="1" spans="1:11">
      <c r="A54" s="48" t="s">
        <v>296</v>
      </c>
      <c r="B54" s="49" t="s">
        <v>101</v>
      </c>
      <c r="C54" s="56">
        <v>4</v>
      </c>
      <c r="D54" s="56">
        <v>8</v>
      </c>
      <c r="E54" s="56"/>
      <c r="F54" s="56"/>
      <c r="G54" s="56"/>
      <c r="H54" s="56"/>
      <c r="I54" s="63"/>
      <c r="J54" s="64"/>
      <c r="K54" s="64"/>
    </row>
    <row r="55" s="1" customFormat="1" spans="1:11">
      <c r="A55" s="48" t="s">
        <v>297</v>
      </c>
      <c r="B55" s="49" t="s">
        <v>101</v>
      </c>
      <c r="C55" s="56">
        <v>4</v>
      </c>
      <c r="D55" s="56">
        <v>8</v>
      </c>
      <c r="E55" s="56"/>
      <c r="F55" s="56"/>
      <c r="G55" s="56"/>
      <c r="H55" s="56"/>
      <c r="I55" s="63"/>
      <c r="J55" s="64" t="s">
        <v>103</v>
      </c>
      <c r="K55" s="64">
        <v>1</v>
      </c>
    </row>
    <row r="56" s="1" customFormat="1" ht="15.75" customHeight="1" spans="1:11">
      <c r="A56" s="48" t="s">
        <v>298</v>
      </c>
      <c r="B56" s="49" t="s">
        <v>101</v>
      </c>
      <c r="C56" s="56">
        <v>4</v>
      </c>
      <c r="D56" s="56">
        <v>8</v>
      </c>
      <c r="E56" s="56"/>
      <c r="F56" s="56"/>
      <c r="G56" s="56"/>
      <c r="H56" s="56"/>
      <c r="I56" s="63"/>
      <c r="J56" s="64"/>
      <c r="K56" s="64">
        <v>1</v>
      </c>
    </row>
    <row r="57" s="1" customFormat="1" ht="15.75" customHeight="1" spans="1:11">
      <c r="A57" s="48" t="s">
        <v>262</v>
      </c>
      <c r="B57" s="49" t="s">
        <v>243</v>
      </c>
      <c r="C57" s="56">
        <v>3</v>
      </c>
      <c r="D57" s="56">
        <v>6</v>
      </c>
      <c r="E57" s="56">
        <v>3</v>
      </c>
      <c r="F57" s="56"/>
      <c r="G57" s="56"/>
      <c r="H57" s="56"/>
      <c r="I57" s="63"/>
      <c r="J57" s="64" t="s">
        <v>102</v>
      </c>
      <c r="K57" s="64">
        <v>1</v>
      </c>
    </row>
    <row r="58" s="1" customFormat="1" ht="15.75" customHeight="1" spans="1:11">
      <c r="A58" s="48" t="s">
        <v>263</v>
      </c>
      <c r="B58" s="49" t="s">
        <v>243</v>
      </c>
      <c r="C58" s="56">
        <v>3</v>
      </c>
      <c r="D58" s="56">
        <v>6</v>
      </c>
      <c r="E58" s="56">
        <v>3</v>
      </c>
      <c r="F58" s="56"/>
      <c r="G58" s="56"/>
      <c r="H58" s="56"/>
      <c r="I58" s="63"/>
      <c r="J58" s="64"/>
      <c r="K58" s="64"/>
    </row>
    <row r="59" s="1" customFormat="1" ht="15.75" customHeight="1" spans="1:11">
      <c r="A59" s="48" t="s">
        <v>264</v>
      </c>
      <c r="B59" s="49" t="s">
        <v>243</v>
      </c>
      <c r="C59" s="56">
        <v>3</v>
      </c>
      <c r="D59" s="56">
        <v>6</v>
      </c>
      <c r="E59" s="56">
        <v>3</v>
      </c>
      <c r="F59" s="56"/>
      <c r="G59" s="56"/>
      <c r="H59" s="56"/>
      <c r="I59" s="63"/>
      <c r="J59" s="64"/>
      <c r="K59" s="64"/>
    </row>
    <row r="60" s="1" customFormat="1" ht="15.75" customHeight="1" spans="1:11">
      <c r="A60" s="48" t="s">
        <v>265</v>
      </c>
      <c r="B60" s="49" t="s">
        <v>247</v>
      </c>
      <c r="C60" s="56">
        <v>3</v>
      </c>
      <c r="D60" s="56">
        <v>6</v>
      </c>
      <c r="E60" s="56">
        <v>3</v>
      </c>
      <c r="F60" s="56"/>
      <c r="G60" s="56"/>
      <c r="H60" s="56"/>
      <c r="I60" s="63"/>
      <c r="J60" s="64"/>
      <c r="K60" s="64"/>
    </row>
    <row r="61" s="1" customFormat="1" ht="15.75" customHeight="1" spans="1:11">
      <c r="A61" s="48" t="s">
        <v>266</v>
      </c>
      <c r="B61" s="49" t="s">
        <v>247</v>
      </c>
      <c r="C61" s="56">
        <v>3</v>
      </c>
      <c r="D61" s="56">
        <v>6</v>
      </c>
      <c r="E61" s="56">
        <v>3</v>
      </c>
      <c r="F61" s="56"/>
      <c r="G61" s="56"/>
      <c r="H61" s="56"/>
      <c r="I61" s="63"/>
      <c r="J61" s="64" t="s">
        <v>102</v>
      </c>
      <c r="K61" s="64">
        <v>1</v>
      </c>
    </row>
    <row r="62" s="1" customFormat="1" ht="15.75" customHeight="1" spans="1:11">
      <c r="A62" s="48" t="s">
        <v>267</v>
      </c>
      <c r="B62" s="49" t="s">
        <v>268</v>
      </c>
      <c r="C62" s="56">
        <v>3</v>
      </c>
      <c r="D62" s="56">
        <v>6</v>
      </c>
      <c r="E62" s="56"/>
      <c r="F62" s="56"/>
      <c r="G62" s="56"/>
      <c r="H62" s="56"/>
      <c r="I62" s="63"/>
      <c r="J62" s="64"/>
      <c r="K62" s="64"/>
    </row>
    <row r="63" s="1" customFormat="1" ht="15.75" customHeight="1" spans="1:11">
      <c r="A63" s="48" t="s">
        <v>269</v>
      </c>
      <c r="B63" s="49" t="s">
        <v>268</v>
      </c>
      <c r="C63" s="56">
        <v>3</v>
      </c>
      <c r="D63" s="56">
        <v>6</v>
      </c>
      <c r="E63" s="56"/>
      <c r="F63" s="56"/>
      <c r="G63" s="56"/>
      <c r="H63" s="56"/>
      <c r="I63" s="63"/>
      <c r="J63" s="64"/>
      <c r="K63" s="64"/>
    </row>
    <row r="64" s="1" customFormat="1" ht="15.75" customHeight="1" spans="1:11">
      <c r="A64" s="48" t="s">
        <v>270</v>
      </c>
      <c r="B64" s="49" t="s">
        <v>271</v>
      </c>
      <c r="C64" s="56">
        <v>2</v>
      </c>
      <c r="D64" s="56">
        <v>4</v>
      </c>
      <c r="E64" s="56">
        <v>2</v>
      </c>
      <c r="F64" s="56"/>
      <c r="G64" s="56"/>
      <c r="H64" s="56"/>
      <c r="I64" s="63"/>
      <c r="J64" s="64"/>
      <c r="K64" s="64"/>
    </row>
    <row r="65" s="1" customFormat="1" ht="15.75" customHeight="1" spans="1:11">
      <c r="A65" s="48" t="s">
        <v>272</v>
      </c>
      <c r="B65" s="49" t="s">
        <v>222</v>
      </c>
      <c r="C65" s="56">
        <v>2</v>
      </c>
      <c r="D65" s="56">
        <v>4</v>
      </c>
      <c r="E65" s="56">
        <v>4</v>
      </c>
      <c r="F65" s="56"/>
      <c r="G65" s="56"/>
      <c r="H65" s="56"/>
      <c r="I65" s="63"/>
      <c r="J65" s="64" t="s">
        <v>103</v>
      </c>
      <c r="K65" s="64">
        <v>1</v>
      </c>
    </row>
    <row r="66" s="1" customFormat="1" ht="15.75" customHeight="1" spans="1:11">
      <c r="A66" s="48" t="s">
        <v>273</v>
      </c>
      <c r="B66" s="49" t="s">
        <v>222</v>
      </c>
      <c r="C66" s="56">
        <v>2</v>
      </c>
      <c r="D66" s="56">
        <v>4</v>
      </c>
      <c r="E66" s="56">
        <v>4</v>
      </c>
      <c r="F66" s="56"/>
      <c r="G66" s="56"/>
      <c r="H66" s="56"/>
      <c r="I66" s="63"/>
      <c r="J66" s="64"/>
      <c r="K66" s="64"/>
    </row>
    <row r="67" s="1" customFormat="1" ht="15.75" customHeight="1" spans="1:11">
      <c r="A67" s="48" t="s">
        <v>299</v>
      </c>
      <c r="B67" s="49" t="s">
        <v>101</v>
      </c>
      <c r="C67" s="56">
        <v>4</v>
      </c>
      <c r="D67" s="56">
        <v>8</v>
      </c>
      <c r="E67" s="56"/>
      <c r="F67" s="56"/>
      <c r="G67" s="56"/>
      <c r="H67" s="56"/>
      <c r="I67" s="63"/>
      <c r="J67" s="64" t="s">
        <v>102</v>
      </c>
      <c r="K67" s="64">
        <v>1</v>
      </c>
    </row>
    <row r="68" s="1" customFormat="1" ht="15.75" customHeight="1" spans="1:11">
      <c r="A68" s="48" t="s">
        <v>300</v>
      </c>
      <c r="B68" s="49" t="s">
        <v>101</v>
      </c>
      <c r="C68" s="56">
        <v>4</v>
      </c>
      <c r="D68" s="56">
        <v>8</v>
      </c>
      <c r="E68" s="56"/>
      <c r="F68" s="56"/>
      <c r="G68" s="56"/>
      <c r="H68" s="56"/>
      <c r="I68" s="63"/>
      <c r="J68" s="64"/>
      <c r="K68" s="64"/>
    </row>
    <row r="69" s="1" customFormat="1" ht="15.75" customHeight="1" spans="1:11">
      <c r="A69" s="48" t="s">
        <v>301</v>
      </c>
      <c r="B69" s="49" t="s">
        <v>101</v>
      </c>
      <c r="C69" s="56">
        <v>4</v>
      </c>
      <c r="D69" s="56">
        <v>8</v>
      </c>
      <c r="E69" s="56"/>
      <c r="F69" s="56"/>
      <c r="G69" s="56"/>
      <c r="H69" s="56"/>
      <c r="I69" s="63"/>
      <c r="J69" s="64"/>
      <c r="K69" s="64"/>
    </row>
    <row r="70" s="1" customFormat="1" ht="15.75" customHeight="1" spans="1:11">
      <c r="A70" s="48" t="s">
        <v>274</v>
      </c>
      <c r="B70" s="49" t="s">
        <v>106</v>
      </c>
      <c r="C70" s="56">
        <v>4</v>
      </c>
      <c r="D70" s="56">
        <v>4</v>
      </c>
      <c r="E70" s="56"/>
      <c r="F70" s="56"/>
      <c r="G70" s="56"/>
      <c r="H70" s="56"/>
      <c r="I70" s="63"/>
      <c r="J70" s="64"/>
      <c r="K70" s="64"/>
    </row>
    <row r="71" s="1" customFormat="1" ht="15.75" customHeight="1" spans="1:11">
      <c r="A71" s="48" t="s">
        <v>275</v>
      </c>
      <c r="B71" s="49" t="s">
        <v>106</v>
      </c>
      <c r="C71" s="56">
        <v>4</v>
      </c>
      <c r="D71" s="56">
        <v>4</v>
      </c>
      <c r="E71" s="56"/>
      <c r="F71" s="56"/>
      <c r="G71" s="56"/>
      <c r="H71" s="56"/>
      <c r="I71" s="63"/>
      <c r="J71" s="64"/>
      <c r="K71" s="64"/>
    </row>
    <row r="72" s="1" customFormat="1" ht="15.75" customHeight="1" spans="1:11">
      <c r="A72" s="48" t="s">
        <v>276</v>
      </c>
      <c r="B72" s="49" t="s">
        <v>114</v>
      </c>
      <c r="C72" s="56">
        <v>4</v>
      </c>
      <c r="D72" s="56">
        <v>4</v>
      </c>
      <c r="E72" s="56"/>
      <c r="F72" s="56"/>
      <c r="G72" s="56"/>
      <c r="H72" s="56"/>
      <c r="I72" s="63"/>
      <c r="J72" s="64" t="s">
        <v>103</v>
      </c>
      <c r="K72" s="64">
        <v>1</v>
      </c>
    </row>
    <row r="73" s="1" customFormat="1" ht="15.75" customHeight="1" spans="1:11">
      <c r="A73" s="48" t="s">
        <v>277</v>
      </c>
      <c r="B73" s="49" t="s">
        <v>116</v>
      </c>
      <c r="C73" s="56">
        <v>4</v>
      </c>
      <c r="D73" s="56">
        <v>4</v>
      </c>
      <c r="E73" s="56"/>
      <c r="F73" s="56"/>
      <c r="G73" s="56"/>
      <c r="H73" s="56"/>
      <c r="I73" s="63"/>
      <c r="J73" s="64"/>
      <c r="K73" s="64"/>
    </row>
    <row r="74" s="1" customFormat="1" ht="15.75" customHeight="1" spans="1:11">
      <c r="A74" s="48" t="s">
        <v>302</v>
      </c>
      <c r="B74" s="49" t="s">
        <v>101</v>
      </c>
      <c r="C74" s="56">
        <v>4</v>
      </c>
      <c r="D74" s="56">
        <v>8</v>
      </c>
      <c r="E74" s="56"/>
      <c r="F74" s="56"/>
      <c r="G74" s="56"/>
      <c r="H74" s="56"/>
      <c r="I74" s="63"/>
      <c r="J74" s="64" t="s">
        <v>103</v>
      </c>
      <c r="K74" s="64">
        <v>1</v>
      </c>
    </row>
    <row r="75" s="1" customFormat="1" ht="15.75" customHeight="1" spans="1:11">
      <c r="A75" s="48" t="s">
        <v>303</v>
      </c>
      <c r="B75" s="49" t="s">
        <v>101</v>
      </c>
      <c r="C75" s="56">
        <v>4</v>
      </c>
      <c r="D75" s="56">
        <v>8</v>
      </c>
      <c r="E75" s="56"/>
      <c r="F75" s="56"/>
      <c r="G75" s="56"/>
      <c r="H75" s="56"/>
      <c r="I75" s="63"/>
      <c r="J75" s="64"/>
      <c r="K75" s="64"/>
    </row>
    <row r="76" spans="1:11">
      <c r="C76" s="2">
        <f t="shared" ref="C76:I76" si="0">SUM(C4:C75)</f>
        <v>235</v>
      </c>
      <c r="D76" s="2">
        <f t="shared" si="0"/>
        <v>430</v>
      </c>
      <c r="E76" s="2">
        <f t="shared" si="0"/>
        <v>107</v>
      </c>
      <c r="F76" s="2">
        <f t="shared" si="0"/>
        <v>20</v>
      </c>
      <c r="G76" s="2">
        <f t="shared" si="0"/>
        <v>0</v>
      </c>
      <c r="H76" s="2">
        <f t="shared" si="0"/>
        <v>0</v>
      </c>
      <c r="I76" s="2">
        <f t="shared" si="0"/>
        <v>0</v>
      </c>
    </row>
    <row r="78" spans="1:11">
      <c r="A78" s="31" t="s">
        <v>208</v>
      </c>
      <c r="B78" s="32"/>
      <c r="C78" s="32"/>
      <c r="D78" s="32"/>
      <c r="E78" s="17"/>
    </row>
    <row r="79" spans="1:11">
      <c r="A79" s="31" t="s">
        <v>209</v>
      </c>
      <c r="B79" s="31">
        <v>35</v>
      </c>
      <c r="C79" s="31"/>
      <c r="D79" s="31"/>
      <c r="E79" s="17"/>
    </row>
    <row r="80" spans="1:11">
      <c r="A80" s="31" t="s">
        <v>210</v>
      </c>
      <c r="B80" s="31" t="s">
        <v>102</v>
      </c>
      <c r="C80" s="31"/>
      <c r="D80" s="31">
        <v>16</v>
      </c>
      <c r="E80" s="57"/>
    </row>
    <row r="81" spans="1:5">
      <c r="A81" s="31"/>
      <c r="B81" s="31" t="s">
        <v>103</v>
      </c>
      <c r="C81" s="31"/>
      <c r="D81" s="31">
        <v>19</v>
      </c>
      <c r="E81" s="57"/>
    </row>
    <row r="82" spans="1:5">
      <c r="A82" s="31" t="s">
        <v>211</v>
      </c>
      <c r="B82" s="31">
        <v>13</v>
      </c>
      <c r="C82" s="17"/>
      <c r="D82" s="32"/>
      <c r="E82" s="32"/>
    </row>
    <row r="83" spans="1:5">
      <c r="A83" s="31" t="s">
        <v>212</v>
      </c>
      <c r="B83" s="31" t="s">
        <v>213</v>
      </c>
      <c r="C83" s="31"/>
      <c r="D83" s="31">
        <v>8</v>
      </c>
      <c r="E83" s="58">
        <f>1.05*1.05*1.15*D83</f>
        <v>10.143</v>
      </c>
    </row>
    <row r="84" spans="1:5">
      <c r="A84" s="31"/>
      <c r="B84" s="31" t="s">
        <v>214</v>
      </c>
      <c r="C84" s="31"/>
      <c r="D84" s="31">
        <v>0</v>
      </c>
      <c r="E84" s="58">
        <f>1.05*1.05*0.65*D84</f>
        <v>0</v>
      </c>
    </row>
    <row r="85" spans="1:5">
      <c r="A85" s="31"/>
      <c r="B85" s="31" t="s">
        <v>215</v>
      </c>
      <c r="C85" s="31"/>
      <c r="D85" s="31">
        <v>5</v>
      </c>
      <c r="E85" s="58">
        <f>1.5*0.75*1.15*D85</f>
        <v>6.46875</v>
      </c>
    </row>
    <row r="86" spans="1:5">
      <c r="A86" s="31"/>
      <c r="B86" s="31" t="s">
        <v>216</v>
      </c>
      <c r="C86" s="31"/>
      <c r="D86" s="31">
        <v>0</v>
      </c>
      <c r="E86" s="58">
        <f>1.5*0.75*0.65*D86</f>
        <v>0</v>
      </c>
    </row>
    <row r="87" spans="1:5">
      <c r="A87" s="31" t="s">
        <v>217</v>
      </c>
      <c r="B87" s="34">
        <f>SUM(E83:E86)</f>
        <v>16.61175</v>
      </c>
      <c r="C87" s="17"/>
      <c r="D87" s="31"/>
      <c r="E87" s="59"/>
    </row>
    <row r="88" spans="1:5">
      <c r="A88" s="31" t="s">
        <v>218</v>
      </c>
      <c r="B88" s="36">
        <f>Batch_01_GW!H41</f>
        <v>3627.25</v>
      </c>
      <c r="C88" s="17"/>
      <c r="D88" s="32"/>
      <c r="E88" s="32"/>
    </row>
  </sheetData>
  <autoFilter xmlns:etc="http://www.wps.cn/officeDocument/2017/etCustomData" ref="A1:K88" etc:filterBottomFollowUsedRange="0">
    <extLst/>
  </autoFilter>
  <mergeCells count="54">
    <mergeCell ref="B80:C80"/>
    <mergeCell ref="B81:C81"/>
    <mergeCell ref="B83:C83"/>
    <mergeCell ref="B84:C84"/>
    <mergeCell ref="B85:C85"/>
    <mergeCell ref="B86:C86"/>
    <mergeCell ref="A1:A3"/>
    <mergeCell ref="B1:B3"/>
    <mergeCell ref="J1:J3"/>
    <mergeCell ref="J6:J8"/>
    <mergeCell ref="J9:J11"/>
    <mergeCell ref="J12:J13"/>
    <mergeCell ref="J17:J18"/>
    <mergeCell ref="J19:J20"/>
    <mergeCell ref="J21:J22"/>
    <mergeCell ref="J23:J25"/>
    <mergeCell ref="J26:J28"/>
    <mergeCell ref="J29:J32"/>
    <mergeCell ref="J33:J37"/>
    <mergeCell ref="J38:J39"/>
    <mergeCell ref="J40:J43"/>
    <mergeCell ref="J44:J47"/>
    <mergeCell ref="J48:J49"/>
    <mergeCell ref="J50:J54"/>
    <mergeCell ref="J55:J56"/>
    <mergeCell ref="J57:J60"/>
    <mergeCell ref="J61:J64"/>
    <mergeCell ref="J65:J66"/>
    <mergeCell ref="J67:J71"/>
    <mergeCell ref="J72:J73"/>
    <mergeCell ref="J74:J75"/>
    <mergeCell ref="K1:K3"/>
    <mergeCell ref="K6:K8"/>
    <mergeCell ref="K9:K11"/>
    <mergeCell ref="K12:K13"/>
    <mergeCell ref="K17:K18"/>
    <mergeCell ref="K19:K20"/>
    <mergeCell ref="K21:K22"/>
    <mergeCell ref="K23:K25"/>
    <mergeCell ref="K26:K28"/>
    <mergeCell ref="K29:K32"/>
    <mergeCell ref="K33:K37"/>
    <mergeCell ref="K38:K39"/>
    <mergeCell ref="K40:K43"/>
    <mergeCell ref="K44:K47"/>
    <mergeCell ref="K48:K49"/>
    <mergeCell ref="K50:K54"/>
    <mergeCell ref="K55:K56"/>
    <mergeCell ref="K57:K60"/>
    <mergeCell ref="K61:K64"/>
    <mergeCell ref="K65:K66"/>
    <mergeCell ref="K67:K71"/>
    <mergeCell ref="K72:K73"/>
    <mergeCell ref="K74:K75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8"/>
  <sheetViews>
    <sheetView zoomScale="85" zoomScaleNormal="85" workbookViewId="0">
      <pane xSplit="3" ySplit="3" topLeftCell="D4" activePane="bottomRight" state="frozen"/>
      <selection/>
      <selection pane="topRight"/>
      <selection pane="bottomLeft"/>
      <selection pane="bottomRight" activeCell="K39" sqref="K39"/>
    </sheetView>
  </sheetViews>
  <sheetFormatPr defaultColWidth="9" defaultRowHeight="15"/>
  <cols>
    <col min="1" max="1" width="13.6666666666667" style="2" customWidth="1"/>
    <col min="2" max="32" width="8.66666666666667" style="2" customWidth="1"/>
    <col min="33" max="33" width="9" style="2" hidden="1" customWidth="1"/>
    <col min="34" max="34" width="13" style="2" customWidth="1"/>
    <col min="35" max="36" width="9" style="2" hidden="1" customWidth="1"/>
    <col min="37" max="37" width="9" style="2"/>
    <col min="38" max="38" width="9" style="2" hidden="1" customWidth="1"/>
    <col min="39" max="16384" width="9" style="2"/>
  </cols>
  <sheetData>
    <row r="1" spans="1:38">
      <c r="A1" s="11" t="s">
        <v>0</v>
      </c>
      <c r="B1" s="12" t="s">
        <v>1</v>
      </c>
      <c r="C1" s="13" t="s">
        <v>2</v>
      </c>
      <c r="D1" s="14" t="s">
        <v>3</v>
      </c>
      <c r="E1" s="14" t="s">
        <v>3</v>
      </c>
      <c r="F1" s="14" t="s">
        <v>3</v>
      </c>
      <c r="G1" s="14" t="s">
        <v>3</v>
      </c>
      <c r="H1" s="14" t="s">
        <v>3</v>
      </c>
      <c r="I1" s="14" t="s">
        <v>3</v>
      </c>
      <c r="J1" s="14" t="s">
        <v>3</v>
      </c>
      <c r="K1" s="14" t="s">
        <v>3</v>
      </c>
      <c r="L1" s="14" t="s">
        <v>3</v>
      </c>
      <c r="M1" s="14" t="s">
        <v>3</v>
      </c>
      <c r="N1" s="14" t="s">
        <v>3</v>
      </c>
      <c r="O1" s="14" t="s">
        <v>3</v>
      </c>
      <c r="P1" s="14" t="s">
        <v>3</v>
      </c>
      <c r="Q1" s="14" t="s">
        <v>3</v>
      </c>
      <c r="R1" s="14" t="s">
        <v>3</v>
      </c>
      <c r="S1" s="14" t="s">
        <v>3</v>
      </c>
      <c r="T1" s="14" t="s">
        <v>3</v>
      </c>
      <c r="U1" s="14" t="s">
        <v>3</v>
      </c>
      <c r="V1" s="15" t="s">
        <v>4</v>
      </c>
      <c r="W1" s="15" t="s">
        <v>4</v>
      </c>
      <c r="X1" s="15" t="s">
        <v>4</v>
      </c>
      <c r="Y1" s="15" t="s">
        <v>4</v>
      </c>
      <c r="Z1" s="15" t="s">
        <v>4</v>
      </c>
      <c r="AA1" s="15" t="s">
        <v>4</v>
      </c>
      <c r="AB1" s="15" t="s">
        <v>4</v>
      </c>
      <c r="AC1" s="15" t="s">
        <v>4</v>
      </c>
      <c r="AD1" s="15" t="s">
        <v>4</v>
      </c>
      <c r="AE1" s="15" t="s">
        <v>4</v>
      </c>
      <c r="AF1" s="15" t="s">
        <v>4</v>
      </c>
      <c r="AG1" s="37" t="s">
        <v>5</v>
      </c>
      <c r="AH1" s="17" t="s">
        <v>6</v>
      </c>
      <c r="AI1" s="17" t="s">
        <v>219</v>
      </c>
      <c r="AJ1" s="17" t="s">
        <v>220</v>
      </c>
      <c r="AK1" s="17" t="s">
        <v>7</v>
      </c>
      <c r="AL1" s="38" t="s">
        <v>8</v>
      </c>
    </row>
    <row r="2" ht="16.5" customHeight="1" spans="1:38">
      <c r="A2" s="11"/>
      <c r="B2" s="12"/>
      <c r="C2" s="13"/>
      <c r="D2" s="13" t="s">
        <v>10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15</v>
      </c>
      <c r="J2" s="13" t="s">
        <v>16</v>
      </c>
      <c r="K2" s="13" t="s">
        <v>17</v>
      </c>
      <c r="L2" s="13" t="s">
        <v>18</v>
      </c>
      <c r="M2" s="13" t="s">
        <v>19</v>
      </c>
      <c r="N2" s="13" t="s">
        <v>20</v>
      </c>
      <c r="O2" s="13" t="s">
        <v>21</v>
      </c>
      <c r="P2" s="13" t="s">
        <v>22</v>
      </c>
      <c r="Q2" s="13" t="s">
        <v>23</v>
      </c>
      <c r="R2" s="13" t="s">
        <v>24</v>
      </c>
      <c r="S2" s="13" t="s">
        <v>25</v>
      </c>
      <c r="T2" s="13" t="s">
        <v>26</v>
      </c>
      <c r="U2" s="13" t="s">
        <v>27</v>
      </c>
      <c r="V2" s="13" t="s">
        <v>28</v>
      </c>
      <c r="W2" s="13" t="s">
        <v>29</v>
      </c>
      <c r="X2" s="13" t="s">
        <v>30</v>
      </c>
      <c r="Y2" s="13" t="s">
        <v>31</v>
      </c>
      <c r="Z2" s="13" t="s">
        <v>32</v>
      </c>
      <c r="AA2" s="13" t="s">
        <v>33</v>
      </c>
      <c r="AB2" s="13" t="s">
        <v>34</v>
      </c>
      <c r="AC2" s="13" t="s">
        <v>35</v>
      </c>
      <c r="AD2" s="13" t="s">
        <v>36</v>
      </c>
      <c r="AE2" s="13" t="s">
        <v>37</v>
      </c>
      <c r="AF2" s="13" t="s">
        <v>38</v>
      </c>
      <c r="AG2" s="37"/>
      <c r="AH2" s="17"/>
      <c r="AI2" s="17"/>
      <c r="AJ2" s="17"/>
      <c r="AK2" s="17"/>
      <c r="AL2" s="39"/>
    </row>
    <row r="3" spans="1:38">
      <c r="A3" s="11"/>
      <c r="B3" s="12"/>
      <c r="C3" s="21"/>
      <c r="D3" s="22">
        <v>571</v>
      </c>
      <c r="E3" s="22">
        <v>571</v>
      </c>
      <c r="F3" s="22">
        <v>571</v>
      </c>
      <c r="G3" s="22">
        <v>571</v>
      </c>
      <c r="H3" s="22">
        <v>571.040026246719</v>
      </c>
      <c r="I3" s="22"/>
      <c r="J3" s="22">
        <v>494</v>
      </c>
      <c r="K3" s="22">
        <v>513</v>
      </c>
      <c r="L3" s="22">
        <v>513</v>
      </c>
      <c r="M3" s="22">
        <v>513</v>
      </c>
      <c r="N3" s="22">
        <v>504</v>
      </c>
      <c r="O3" s="22">
        <v>493</v>
      </c>
      <c r="P3" s="22">
        <v>513</v>
      </c>
      <c r="Q3" s="22">
        <v>513</v>
      </c>
      <c r="R3" s="22">
        <v>513</v>
      </c>
      <c r="S3" s="22">
        <v>503</v>
      </c>
      <c r="T3" s="22">
        <v>268</v>
      </c>
      <c r="U3" s="22">
        <v>268</v>
      </c>
      <c r="V3" s="22">
        <v>412</v>
      </c>
      <c r="W3" s="22">
        <v>484</v>
      </c>
      <c r="X3" s="22">
        <v>540</v>
      </c>
      <c r="Y3" s="22">
        <v>748</v>
      </c>
      <c r="Z3" s="22">
        <v>956</v>
      </c>
      <c r="AA3" s="22">
        <v>1008</v>
      </c>
      <c r="AB3" s="22">
        <v>1028</v>
      </c>
      <c r="AC3" s="22">
        <v>1216</v>
      </c>
      <c r="AD3" s="22">
        <v>1226</v>
      </c>
      <c r="AE3" s="22">
        <v>1426</v>
      </c>
      <c r="AF3" s="22">
        <v>1436</v>
      </c>
      <c r="AG3" s="37"/>
      <c r="AH3" s="17"/>
      <c r="AI3" s="17"/>
      <c r="AJ3" s="17"/>
      <c r="AK3" s="17"/>
      <c r="AL3" s="40"/>
    </row>
    <row r="4" s="1" customFormat="1" spans="1:38">
      <c r="A4" s="48" t="s">
        <v>278</v>
      </c>
      <c r="B4" s="49" t="s">
        <v>101</v>
      </c>
      <c r="C4" s="50">
        <v>12</v>
      </c>
      <c r="D4" s="50"/>
      <c r="E4" s="50"/>
      <c r="F4" s="50"/>
      <c r="G4" s="50"/>
      <c r="H4" s="51"/>
      <c r="I4" s="51"/>
      <c r="J4" s="51">
        <v>9</v>
      </c>
      <c r="K4" s="51">
        <v>3</v>
      </c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>
        <v>3</v>
      </c>
      <c r="X4" s="51"/>
      <c r="Y4" s="51"/>
      <c r="Z4" s="51">
        <v>3</v>
      </c>
      <c r="AA4" s="51"/>
      <c r="AB4" s="51"/>
      <c r="AC4" s="51"/>
      <c r="AD4" s="51"/>
      <c r="AE4" s="51">
        <v>3</v>
      </c>
      <c r="AF4" s="51"/>
      <c r="AG4" s="52">
        <f>J3*2+K3*2+W3+Z3+AE3</f>
        <v>4880</v>
      </c>
      <c r="AH4" s="53" t="str" cm="1">
        <f t="array" ref="AH4">_xlfn.IFS(AND(AG4&gt;=1000,AG4&lt;=1800),"750*350*500",AND(AG4&gt;=3000,AG4&lt;=4900),"1000*350*500",TRUE,"")</f>
        <v>1000*350*500</v>
      </c>
      <c r="AI4" s="37">
        <v>3</v>
      </c>
      <c r="AJ4" s="54">
        <f t="shared" ref="AJ4:AJ24" si="0">AG4*AI4</f>
        <v>14640</v>
      </c>
      <c r="AK4" s="53">
        <f t="shared" ref="AK4:AK24" si="1">AJ4/AG4</f>
        <v>3</v>
      </c>
      <c r="AL4" s="53" t="e">
        <f>#REF!*#REF!+#REF!*#REF!</f>
        <v>#REF!</v>
      </c>
    </row>
    <row r="5" s="1" customFormat="1" spans="1:38">
      <c r="A5" s="48" t="s">
        <v>279</v>
      </c>
      <c r="B5" s="49" t="s">
        <v>101</v>
      </c>
      <c r="C5" s="50">
        <v>12</v>
      </c>
      <c r="D5" s="50"/>
      <c r="E5" s="50"/>
      <c r="F5" s="50"/>
      <c r="G5" s="50"/>
      <c r="H5" s="51"/>
      <c r="I5" s="51"/>
      <c r="J5" s="51">
        <v>9</v>
      </c>
      <c r="K5" s="51">
        <v>3</v>
      </c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>
        <v>3</v>
      </c>
      <c r="X5" s="51"/>
      <c r="Y5" s="51"/>
      <c r="Z5" s="51">
        <v>3</v>
      </c>
      <c r="AA5" s="51"/>
      <c r="AB5" s="51"/>
      <c r="AC5" s="51"/>
      <c r="AD5" s="51"/>
      <c r="AE5" s="51">
        <v>3</v>
      </c>
      <c r="AF5" s="51"/>
      <c r="AG5" s="52">
        <v>4880</v>
      </c>
      <c r="AH5" s="53" t="str" cm="1">
        <f t="array" ref="AH5">_xlfn.IFS(AND(AG5&gt;=1000,AG5&lt;=1800),"750*350*500",AND(AG5&gt;=3000,AG5&lt;=4900),"1000*350*500",TRUE,"")</f>
        <v>1000*350*500</v>
      </c>
      <c r="AI5" s="37">
        <v>3</v>
      </c>
      <c r="AJ5" s="54">
        <f t="shared" si="0"/>
        <v>14640</v>
      </c>
      <c r="AK5" s="53">
        <f t="shared" si="1"/>
        <v>3</v>
      </c>
      <c r="AL5" s="55">
        <v>696</v>
      </c>
    </row>
    <row r="6" s="1" customFormat="1" spans="1:38">
      <c r="A6" s="48" t="s">
        <v>280</v>
      </c>
      <c r="B6" s="49" t="s">
        <v>101</v>
      </c>
      <c r="C6" s="50">
        <v>12</v>
      </c>
      <c r="D6" s="50"/>
      <c r="E6" s="50"/>
      <c r="F6" s="50"/>
      <c r="G6" s="50"/>
      <c r="H6" s="51"/>
      <c r="I6" s="51"/>
      <c r="J6" s="51">
        <v>9</v>
      </c>
      <c r="K6" s="51">
        <v>3</v>
      </c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>
        <v>3</v>
      </c>
      <c r="X6" s="51"/>
      <c r="Y6" s="51"/>
      <c r="Z6" s="51">
        <v>3</v>
      </c>
      <c r="AA6" s="51"/>
      <c r="AB6" s="51"/>
      <c r="AC6" s="51"/>
      <c r="AD6" s="51"/>
      <c r="AE6" s="51">
        <v>3</v>
      </c>
      <c r="AF6" s="51"/>
      <c r="AG6" s="52">
        <v>4880</v>
      </c>
      <c r="AH6" s="53" t="str" cm="1">
        <f t="array" ref="AH6">_xlfn.IFS(AND(AG6&gt;=1000,AG6&lt;=1800),"750*350*500",AND(AG6&gt;=3000,AG6&lt;=4900),"1000*350*500",TRUE,"")</f>
        <v>1000*350*500</v>
      </c>
      <c r="AI6" s="37">
        <v>3</v>
      </c>
      <c r="AJ6" s="54">
        <f t="shared" si="0"/>
        <v>14640</v>
      </c>
      <c r="AK6" s="53">
        <f t="shared" si="1"/>
        <v>3</v>
      </c>
      <c r="AL6" s="55">
        <v>696</v>
      </c>
    </row>
    <row r="7" s="1" customFormat="1" spans="1:38">
      <c r="A7" s="48" t="s">
        <v>281</v>
      </c>
      <c r="B7" s="49" t="s">
        <v>101</v>
      </c>
      <c r="C7" s="50">
        <v>12</v>
      </c>
      <c r="D7" s="50"/>
      <c r="E7" s="50"/>
      <c r="F7" s="50"/>
      <c r="G7" s="50"/>
      <c r="H7" s="51"/>
      <c r="I7" s="51"/>
      <c r="J7" s="51">
        <v>9</v>
      </c>
      <c r="K7" s="51">
        <v>3</v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>
        <v>3</v>
      </c>
      <c r="X7" s="51"/>
      <c r="Y7" s="51"/>
      <c r="Z7" s="51">
        <v>3</v>
      </c>
      <c r="AA7" s="51"/>
      <c r="AB7" s="51"/>
      <c r="AC7" s="51"/>
      <c r="AD7" s="51"/>
      <c r="AE7" s="51">
        <v>3</v>
      </c>
      <c r="AF7" s="51"/>
      <c r="AG7" s="52">
        <v>4880</v>
      </c>
      <c r="AH7" s="53" t="str" cm="1">
        <f t="array" ref="AH7">_xlfn.IFS(AND(AG7&gt;=1000,AG7&lt;=1800),"750*350*500",AND(AG7&gt;=3000,AG7&lt;=4900),"1000*350*500",TRUE,"")</f>
        <v>1000*350*500</v>
      </c>
      <c r="AI7" s="37">
        <v>3</v>
      </c>
      <c r="AJ7" s="54">
        <f t="shared" si="0"/>
        <v>14640</v>
      </c>
      <c r="AK7" s="53">
        <f t="shared" si="1"/>
        <v>3</v>
      </c>
      <c r="AL7" s="55">
        <v>696</v>
      </c>
    </row>
    <row r="8" s="1" customFormat="1" spans="1:38">
      <c r="A8" s="48" t="s">
        <v>282</v>
      </c>
      <c r="B8" s="49" t="s">
        <v>101</v>
      </c>
      <c r="C8" s="50">
        <v>12</v>
      </c>
      <c r="D8" s="50"/>
      <c r="E8" s="50"/>
      <c r="F8" s="50"/>
      <c r="G8" s="50"/>
      <c r="H8" s="51"/>
      <c r="I8" s="51"/>
      <c r="J8" s="51">
        <v>9</v>
      </c>
      <c r="K8" s="51">
        <v>3</v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>
        <v>3</v>
      </c>
      <c r="X8" s="51"/>
      <c r="Y8" s="51"/>
      <c r="Z8" s="51">
        <v>3</v>
      </c>
      <c r="AA8" s="51"/>
      <c r="AB8" s="51"/>
      <c r="AC8" s="51"/>
      <c r="AD8" s="51"/>
      <c r="AE8" s="51">
        <v>3</v>
      </c>
      <c r="AF8" s="51"/>
      <c r="AG8" s="52">
        <v>4880</v>
      </c>
      <c r="AH8" s="53" t="str" cm="1">
        <f t="array" ref="AH8">_xlfn.IFS(AND(AG8&gt;=1000,AG8&lt;=1800),"750*350*500",AND(AG8&gt;=3000,AG8&lt;=4900),"1000*350*500",TRUE,"")</f>
        <v>1000*350*500</v>
      </c>
      <c r="AI8" s="37">
        <v>3</v>
      </c>
      <c r="AJ8" s="54">
        <f t="shared" si="0"/>
        <v>14640</v>
      </c>
      <c r="AK8" s="53">
        <f t="shared" si="1"/>
        <v>3</v>
      </c>
      <c r="AL8" s="55">
        <v>696</v>
      </c>
    </row>
    <row r="9" s="1" customFormat="1" spans="1:38">
      <c r="A9" s="48" t="s">
        <v>283</v>
      </c>
      <c r="B9" s="49" t="s">
        <v>101</v>
      </c>
      <c r="C9" s="56">
        <v>12</v>
      </c>
      <c r="D9" s="56"/>
      <c r="E9" s="56"/>
      <c r="F9" s="56"/>
      <c r="G9" s="56"/>
      <c r="H9" s="56"/>
      <c r="I9" s="56"/>
      <c r="J9" s="56">
        <v>9</v>
      </c>
      <c r="K9" s="56">
        <v>3</v>
      </c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>
        <v>3</v>
      </c>
      <c r="X9" s="56"/>
      <c r="Y9" s="56"/>
      <c r="Z9" s="56">
        <v>3</v>
      </c>
      <c r="AA9" s="56"/>
      <c r="AB9" s="56"/>
      <c r="AC9" s="56"/>
      <c r="AD9" s="56"/>
      <c r="AE9" s="56">
        <v>3</v>
      </c>
      <c r="AF9" s="56"/>
      <c r="AG9" s="52">
        <v>4880</v>
      </c>
      <c r="AH9" s="53" t="str" cm="1">
        <f t="array" ref="AH9">_xlfn.IFS(AND(AG9&gt;=1000,AG9&lt;=1800),"750*350*500",AND(AG9&gt;=3000,AG9&lt;=4900),"1000*350*500",TRUE,"")</f>
        <v>1000*350*500</v>
      </c>
      <c r="AI9" s="37">
        <v>3</v>
      </c>
      <c r="AJ9" s="54">
        <f t="shared" si="0"/>
        <v>14640</v>
      </c>
      <c r="AK9" s="53">
        <f t="shared" si="1"/>
        <v>3</v>
      </c>
      <c r="AL9" s="55">
        <v>696</v>
      </c>
    </row>
    <row r="10" s="1" customFormat="1" spans="1:38">
      <c r="A10" s="48" t="s">
        <v>284</v>
      </c>
      <c r="B10" s="49" t="s">
        <v>101</v>
      </c>
      <c r="C10" s="56">
        <v>12</v>
      </c>
      <c r="D10" s="56"/>
      <c r="E10" s="56"/>
      <c r="F10" s="56"/>
      <c r="G10" s="56"/>
      <c r="H10" s="56"/>
      <c r="I10" s="56"/>
      <c r="J10" s="56">
        <v>9</v>
      </c>
      <c r="K10" s="56">
        <v>3</v>
      </c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>
        <v>3</v>
      </c>
      <c r="X10" s="56"/>
      <c r="Y10" s="56"/>
      <c r="Z10" s="56">
        <v>3</v>
      </c>
      <c r="AA10" s="56"/>
      <c r="AB10" s="56"/>
      <c r="AC10" s="56"/>
      <c r="AD10" s="56"/>
      <c r="AE10" s="56">
        <v>3</v>
      </c>
      <c r="AF10" s="56"/>
      <c r="AG10" s="52">
        <v>4880</v>
      </c>
      <c r="AH10" s="53" t="str" cm="1">
        <f t="array" ref="AH10">_xlfn.IFS(AND(AG10&gt;=1000,AG10&lt;=1800),"750*350*500",AND(AG10&gt;=3000,AG10&lt;=4900),"1000*350*500",TRUE,"")</f>
        <v>1000*350*500</v>
      </c>
      <c r="AI10" s="37">
        <v>3</v>
      </c>
      <c r="AJ10" s="54">
        <f t="shared" si="0"/>
        <v>14640</v>
      </c>
      <c r="AK10" s="53">
        <f t="shared" si="1"/>
        <v>3</v>
      </c>
      <c r="AL10" s="55">
        <v>696</v>
      </c>
    </row>
    <row r="11" s="1" customFormat="1" spans="1:38">
      <c r="A11" s="48" t="s">
        <v>285</v>
      </c>
      <c r="B11" s="49" t="s">
        <v>101</v>
      </c>
      <c r="C11" s="56">
        <v>12</v>
      </c>
      <c r="D11" s="56"/>
      <c r="E11" s="56"/>
      <c r="F11" s="56"/>
      <c r="G11" s="56"/>
      <c r="H11" s="56"/>
      <c r="I11" s="56"/>
      <c r="J11" s="56">
        <v>9</v>
      </c>
      <c r="K11" s="56">
        <v>3</v>
      </c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>
        <v>3</v>
      </c>
      <c r="X11" s="56"/>
      <c r="Y11" s="56"/>
      <c r="Z11" s="56">
        <v>3</v>
      </c>
      <c r="AA11" s="56"/>
      <c r="AB11" s="56"/>
      <c r="AC11" s="56"/>
      <c r="AD11" s="56"/>
      <c r="AE11" s="56">
        <v>3</v>
      </c>
      <c r="AF11" s="56"/>
      <c r="AG11" s="52">
        <v>4880</v>
      </c>
      <c r="AH11" s="53" t="str" cm="1">
        <f t="array" ref="AH11">_xlfn.IFS(AND(AG11&gt;=1000,AG11&lt;=1800),"750*350*500",AND(AG11&gt;=3000,AG11&lt;=4900),"1000*350*500",TRUE,"")</f>
        <v>1000*350*500</v>
      </c>
      <c r="AI11" s="37">
        <v>3</v>
      </c>
      <c r="AJ11" s="54">
        <f t="shared" si="0"/>
        <v>14640</v>
      </c>
      <c r="AK11" s="53">
        <f t="shared" si="1"/>
        <v>3</v>
      </c>
      <c r="AL11" s="55">
        <v>696</v>
      </c>
    </row>
    <row r="12" s="1" customFormat="1" spans="1:38">
      <c r="A12" s="48" t="s">
        <v>286</v>
      </c>
      <c r="B12" s="49" t="s">
        <v>101</v>
      </c>
      <c r="C12" s="56">
        <v>12</v>
      </c>
      <c r="D12" s="56"/>
      <c r="E12" s="56"/>
      <c r="F12" s="56"/>
      <c r="G12" s="56"/>
      <c r="H12" s="56"/>
      <c r="I12" s="56"/>
      <c r="J12" s="56">
        <v>9</v>
      </c>
      <c r="K12" s="56">
        <v>3</v>
      </c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>
        <v>3</v>
      </c>
      <c r="X12" s="56"/>
      <c r="Y12" s="56"/>
      <c r="Z12" s="56">
        <v>3</v>
      </c>
      <c r="AA12" s="56"/>
      <c r="AB12" s="56"/>
      <c r="AC12" s="56"/>
      <c r="AD12" s="56"/>
      <c r="AE12" s="56">
        <v>3</v>
      </c>
      <c r="AF12" s="56"/>
      <c r="AG12" s="52">
        <v>4880</v>
      </c>
      <c r="AH12" s="53" t="str" cm="1">
        <f t="array" ref="AH12">_xlfn.IFS(AND(AG12&gt;=1000,AG12&lt;=1800),"750*350*500",AND(AG12&gt;=3000,AG12&lt;=4900),"1000*350*500",TRUE,"")</f>
        <v>1000*350*500</v>
      </c>
      <c r="AI12" s="37">
        <v>3</v>
      </c>
      <c r="AJ12" s="54">
        <f t="shared" si="0"/>
        <v>14640</v>
      </c>
      <c r="AK12" s="53">
        <f t="shared" si="1"/>
        <v>3</v>
      </c>
      <c r="AL12" s="55">
        <v>696</v>
      </c>
    </row>
    <row r="13" s="1" customFormat="1" spans="1:38">
      <c r="A13" s="48" t="s">
        <v>287</v>
      </c>
      <c r="B13" s="49" t="s">
        <v>101</v>
      </c>
      <c r="C13" s="56">
        <v>12</v>
      </c>
      <c r="D13" s="56"/>
      <c r="E13" s="56"/>
      <c r="F13" s="56"/>
      <c r="G13" s="56"/>
      <c r="H13" s="56"/>
      <c r="I13" s="56"/>
      <c r="J13" s="56">
        <v>9</v>
      </c>
      <c r="K13" s="56">
        <v>3</v>
      </c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>
        <v>3</v>
      </c>
      <c r="X13" s="56"/>
      <c r="Y13" s="56"/>
      <c r="Z13" s="56">
        <v>3</v>
      </c>
      <c r="AA13" s="56"/>
      <c r="AB13" s="56"/>
      <c r="AC13" s="56"/>
      <c r="AD13" s="56"/>
      <c r="AE13" s="56">
        <v>3</v>
      </c>
      <c r="AF13" s="56"/>
      <c r="AG13" s="52">
        <v>4880</v>
      </c>
      <c r="AH13" s="53" t="str" cm="1">
        <f t="array" ref="AH13">_xlfn.IFS(AND(AG13&gt;=1000,AG13&lt;=1800),"750*350*500",AND(AG13&gt;=3000,AG13&lt;=4900),"1000*350*500",TRUE,"")</f>
        <v>1000*350*500</v>
      </c>
      <c r="AI13" s="37">
        <v>3</v>
      </c>
      <c r="AJ13" s="54">
        <f t="shared" si="0"/>
        <v>14640</v>
      </c>
      <c r="AK13" s="53">
        <f t="shared" si="1"/>
        <v>3</v>
      </c>
      <c r="AL13" s="55">
        <v>696</v>
      </c>
    </row>
    <row r="14" s="1" customFormat="1" spans="1:38">
      <c r="A14" s="48" t="s">
        <v>288</v>
      </c>
      <c r="B14" s="49" t="s">
        <v>101</v>
      </c>
      <c r="C14" s="56">
        <v>12</v>
      </c>
      <c r="D14" s="56"/>
      <c r="E14" s="56"/>
      <c r="F14" s="56"/>
      <c r="G14" s="56"/>
      <c r="H14" s="56"/>
      <c r="I14" s="56"/>
      <c r="J14" s="56">
        <v>9</v>
      </c>
      <c r="K14" s="56">
        <v>3</v>
      </c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>
        <v>3</v>
      </c>
      <c r="X14" s="56"/>
      <c r="Y14" s="56"/>
      <c r="Z14" s="56">
        <v>3</v>
      </c>
      <c r="AA14" s="56"/>
      <c r="AB14" s="56"/>
      <c r="AC14" s="56"/>
      <c r="AD14" s="56"/>
      <c r="AE14" s="56">
        <v>3</v>
      </c>
      <c r="AF14" s="56"/>
      <c r="AG14" s="52">
        <v>4880</v>
      </c>
      <c r="AH14" s="53" t="str" cm="1">
        <f t="array" ref="AH14">_xlfn.IFS(AND(AG14&gt;=1000,AG14&lt;=1800),"750*350*500",AND(AG14&gt;=3000,AG14&lt;=4900),"1000*350*500",TRUE,"")</f>
        <v>1000*350*500</v>
      </c>
      <c r="AI14" s="37">
        <v>3</v>
      </c>
      <c r="AJ14" s="54">
        <f t="shared" si="0"/>
        <v>14640</v>
      </c>
      <c r="AK14" s="53">
        <f t="shared" si="1"/>
        <v>3</v>
      </c>
      <c r="AL14" s="55">
        <v>696</v>
      </c>
    </row>
    <row r="15" s="1" customFormat="1" spans="1:38">
      <c r="A15" s="48" t="s">
        <v>289</v>
      </c>
      <c r="B15" s="49" t="s">
        <v>101</v>
      </c>
      <c r="C15" s="56">
        <v>12</v>
      </c>
      <c r="D15" s="56"/>
      <c r="E15" s="56"/>
      <c r="F15" s="56"/>
      <c r="G15" s="56"/>
      <c r="H15" s="56"/>
      <c r="I15" s="56"/>
      <c r="J15" s="56">
        <v>9</v>
      </c>
      <c r="K15" s="56">
        <v>3</v>
      </c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>
        <v>3</v>
      </c>
      <c r="X15" s="56"/>
      <c r="Y15" s="56"/>
      <c r="Z15" s="56">
        <v>3</v>
      </c>
      <c r="AA15" s="56"/>
      <c r="AB15" s="56"/>
      <c r="AC15" s="56"/>
      <c r="AD15" s="56"/>
      <c r="AE15" s="56">
        <v>3</v>
      </c>
      <c r="AF15" s="56"/>
      <c r="AG15" s="52">
        <v>4880</v>
      </c>
      <c r="AH15" s="53" t="str" cm="1">
        <f t="array" ref="AH15">_xlfn.IFS(AND(AG15&gt;=1000,AG15&lt;=1800),"750*350*500",AND(AG15&gt;=3000,AG15&lt;=4900),"1000*350*500",TRUE,"")</f>
        <v>1000*350*500</v>
      </c>
      <c r="AI15" s="37">
        <v>3</v>
      </c>
      <c r="AJ15" s="54">
        <f t="shared" si="0"/>
        <v>14640</v>
      </c>
      <c r="AK15" s="53">
        <f t="shared" si="1"/>
        <v>3</v>
      </c>
      <c r="AL15" s="55">
        <v>696</v>
      </c>
    </row>
    <row r="16" s="1" customFormat="1" spans="1:38">
      <c r="A16" s="48" t="s">
        <v>290</v>
      </c>
      <c r="B16" s="49" t="s">
        <v>101</v>
      </c>
      <c r="C16" s="56">
        <v>12</v>
      </c>
      <c r="D16" s="56"/>
      <c r="E16" s="56"/>
      <c r="F16" s="56"/>
      <c r="G16" s="56"/>
      <c r="H16" s="56"/>
      <c r="I16" s="56"/>
      <c r="J16" s="56">
        <v>9</v>
      </c>
      <c r="K16" s="56">
        <v>3</v>
      </c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>
        <v>3</v>
      </c>
      <c r="X16" s="56"/>
      <c r="Y16" s="56"/>
      <c r="Z16" s="56">
        <v>3</v>
      </c>
      <c r="AA16" s="56"/>
      <c r="AB16" s="56"/>
      <c r="AC16" s="56"/>
      <c r="AD16" s="56"/>
      <c r="AE16" s="56">
        <v>3</v>
      </c>
      <c r="AF16" s="56"/>
      <c r="AG16" s="52">
        <v>4880</v>
      </c>
      <c r="AH16" s="53" t="str" cm="1">
        <f t="array" ref="AH16">_xlfn.IFS(AND(AG16&gt;=1000,AG16&lt;=1800),"750*350*500",AND(AG16&gt;=3000,AG16&lt;=4900),"1000*350*500",TRUE,"")</f>
        <v>1000*350*500</v>
      </c>
      <c r="AI16" s="37">
        <v>3</v>
      </c>
      <c r="AJ16" s="54">
        <f t="shared" si="0"/>
        <v>14640</v>
      </c>
      <c r="AK16" s="53">
        <f t="shared" si="1"/>
        <v>3</v>
      </c>
      <c r="AL16" s="55">
        <v>696</v>
      </c>
    </row>
    <row r="17" s="1" customFormat="1" spans="1:38">
      <c r="A17" s="48" t="s">
        <v>291</v>
      </c>
      <c r="B17" s="49" t="s">
        <v>101</v>
      </c>
      <c r="C17" s="56">
        <v>12</v>
      </c>
      <c r="D17" s="56"/>
      <c r="E17" s="56"/>
      <c r="F17" s="56"/>
      <c r="G17" s="56"/>
      <c r="H17" s="56"/>
      <c r="I17" s="56"/>
      <c r="J17" s="56">
        <v>9</v>
      </c>
      <c r="K17" s="56">
        <v>3</v>
      </c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>
        <v>3</v>
      </c>
      <c r="X17" s="56"/>
      <c r="Y17" s="56"/>
      <c r="Z17" s="56">
        <v>3</v>
      </c>
      <c r="AA17" s="56"/>
      <c r="AB17" s="56"/>
      <c r="AC17" s="56"/>
      <c r="AD17" s="56"/>
      <c r="AE17" s="56">
        <v>3</v>
      </c>
      <c r="AF17" s="56"/>
      <c r="AG17" s="52">
        <v>4880</v>
      </c>
      <c r="AH17" s="53" t="str" cm="1">
        <f t="array" ref="AH17">_xlfn.IFS(AND(AG17&gt;=1000,AG17&lt;=1800),"750*350*500",AND(AG17&gt;=3000,AG17&lt;=4900),"1000*350*500",TRUE,"")</f>
        <v>1000*350*500</v>
      </c>
      <c r="AI17" s="37">
        <v>3</v>
      </c>
      <c r="AJ17" s="54">
        <f t="shared" si="0"/>
        <v>14640</v>
      </c>
      <c r="AK17" s="53">
        <f t="shared" si="1"/>
        <v>3</v>
      </c>
      <c r="AL17" s="53">
        <v>696</v>
      </c>
    </row>
    <row r="18" s="1" customFormat="1" spans="1:38">
      <c r="A18" s="48" t="s">
        <v>292</v>
      </c>
      <c r="B18" s="49" t="s">
        <v>101</v>
      </c>
      <c r="C18" s="56">
        <v>12</v>
      </c>
      <c r="D18" s="56"/>
      <c r="E18" s="56"/>
      <c r="F18" s="56"/>
      <c r="G18" s="56"/>
      <c r="H18" s="56"/>
      <c r="I18" s="56"/>
      <c r="J18" s="56">
        <v>9</v>
      </c>
      <c r="K18" s="56">
        <v>3</v>
      </c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>
        <v>3</v>
      </c>
      <c r="X18" s="56"/>
      <c r="Y18" s="56"/>
      <c r="Z18" s="56">
        <v>3</v>
      </c>
      <c r="AA18" s="56"/>
      <c r="AB18" s="56"/>
      <c r="AC18" s="56"/>
      <c r="AD18" s="56"/>
      <c r="AE18" s="56">
        <v>3</v>
      </c>
      <c r="AF18" s="56"/>
      <c r="AG18" s="52">
        <v>4880</v>
      </c>
      <c r="AH18" s="53" t="str" cm="1">
        <f t="array" ref="AH18">_xlfn.IFS(AND(AG18&gt;=1000,AG18&lt;=1800),"750*350*500",AND(AG18&gt;=3000,AG18&lt;=4900),"1000*350*500",TRUE,"")</f>
        <v>1000*350*500</v>
      </c>
      <c r="AI18" s="37">
        <v>3</v>
      </c>
      <c r="AJ18" s="54">
        <f t="shared" si="0"/>
        <v>14640</v>
      </c>
      <c r="AK18" s="53">
        <f t="shared" si="1"/>
        <v>3</v>
      </c>
      <c r="AL18" s="53">
        <v>696</v>
      </c>
    </row>
    <row r="19" s="1" customFormat="1" spans="1:38">
      <c r="A19" s="48" t="s">
        <v>293</v>
      </c>
      <c r="B19" s="49" t="s">
        <v>101</v>
      </c>
      <c r="C19" s="56">
        <v>12</v>
      </c>
      <c r="D19" s="56"/>
      <c r="E19" s="56"/>
      <c r="F19" s="56"/>
      <c r="G19" s="56"/>
      <c r="H19" s="56"/>
      <c r="I19" s="56"/>
      <c r="J19" s="56">
        <v>9</v>
      </c>
      <c r="K19" s="56">
        <v>3</v>
      </c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>
        <v>3</v>
      </c>
      <c r="X19" s="56"/>
      <c r="Y19" s="56"/>
      <c r="Z19" s="56">
        <v>3</v>
      </c>
      <c r="AA19" s="56"/>
      <c r="AB19" s="56"/>
      <c r="AC19" s="56"/>
      <c r="AD19" s="56"/>
      <c r="AE19" s="56">
        <v>3</v>
      </c>
      <c r="AF19" s="56"/>
      <c r="AG19" s="52">
        <v>4880</v>
      </c>
      <c r="AH19" s="53" t="str" cm="1">
        <f t="array" ref="AH19">_xlfn.IFS(AND(AG19&gt;=1000,AG19&lt;=1800),"750*350*500",AND(AG19&gt;=3000,AG19&lt;=4900),"1000*350*500",TRUE,"")</f>
        <v>1000*350*500</v>
      </c>
      <c r="AI19" s="37">
        <v>3</v>
      </c>
      <c r="AJ19" s="54">
        <f t="shared" si="0"/>
        <v>14640</v>
      </c>
      <c r="AK19" s="53">
        <f t="shared" si="1"/>
        <v>3</v>
      </c>
      <c r="AL19" s="53">
        <v>696</v>
      </c>
    </row>
    <row r="20" s="1" customFormat="1" spans="1:38">
      <c r="A20" s="48" t="s">
        <v>294</v>
      </c>
      <c r="B20" s="49" t="s">
        <v>101</v>
      </c>
      <c r="C20" s="56">
        <v>12</v>
      </c>
      <c r="D20" s="56"/>
      <c r="E20" s="56"/>
      <c r="F20" s="56"/>
      <c r="G20" s="56"/>
      <c r="H20" s="56"/>
      <c r="I20" s="56"/>
      <c r="J20" s="56">
        <v>9</v>
      </c>
      <c r="K20" s="56">
        <v>3</v>
      </c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>
        <v>3</v>
      </c>
      <c r="X20" s="56"/>
      <c r="Y20" s="56"/>
      <c r="Z20" s="56">
        <v>3</v>
      </c>
      <c r="AA20" s="56"/>
      <c r="AB20" s="56"/>
      <c r="AC20" s="56"/>
      <c r="AD20" s="56"/>
      <c r="AE20" s="56">
        <v>3</v>
      </c>
      <c r="AF20" s="56"/>
      <c r="AG20" s="52">
        <v>4880</v>
      </c>
      <c r="AH20" s="53" t="str" cm="1">
        <f t="array" ref="AH20">_xlfn.IFS(AND(AG20&gt;=1000,AG20&lt;=1800),"750*350*500",AND(AG20&gt;=3000,AG20&lt;=4900),"1000*350*500",TRUE,"")</f>
        <v>1000*350*500</v>
      </c>
      <c r="AI20" s="37">
        <v>3</v>
      </c>
      <c r="AJ20" s="54">
        <f t="shared" si="0"/>
        <v>14640</v>
      </c>
      <c r="AK20" s="53">
        <f t="shared" si="1"/>
        <v>3</v>
      </c>
      <c r="AL20" s="53">
        <v>696</v>
      </c>
    </row>
    <row r="21" s="1" customFormat="1" spans="1:38">
      <c r="A21" s="48" t="s">
        <v>295</v>
      </c>
      <c r="B21" s="49" t="s">
        <v>101</v>
      </c>
      <c r="C21" s="56">
        <v>12</v>
      </c>
      <c r="D21" s="56"/>
      <c r="E21" s="56"/>
      <c r="F21" s="56"/>
      <c r="G21" s="56"/>
      <c r="H21" s="56"/>
      <c r="I21" s="56"/>
      <c r="J21" s="56">
        <v>9</v>
      </c>
      <c r="K21" s="56">
        <v>3</v>
      </c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>
        <v>3</v>
      </c>
      <c r="X21" s="56"/>
      <c r="Y21" s="56"/>
      <c r="Z21" s="56">
        <v>3</v>
      </c>
      <c r="AA21" s="56"/>
      <c r="AB21" s="56"/>
      <c r="AC21" s="56"/>
      <c r="AD21" s="56"/>
      <c r="AE21" s="56">
        <v>3</v>
      </c>
      <c r="AF21" s="56"/>
      <c r="AG21" s="52">
        <v>4880</v>
      </c>
      <c r="AH21" s="53" t="str" cm="1">
        <f t="array" ref="AH21">_xlfn.IFS(AND(AG21&gt;=1000,AG21&lt;=1800),"750*350*500",AND(AG21&gt;=3000,AG21&lt;=4900),"1000*350*500",TRUE,"")</f>
        <v>1000*350*500</v>
      </c>
      <c r="AI21" s="37">
        <v>3</v>
      </c>
      <c r="AJ21" s="54">
        <f t="shared" si="0"/>
        <v>14640</v>
      </c>
      <c r="AK21" s="53">
        <f t="shared" si="1"/>
        <v>3</v>
      </c>
      <c r="AL21" s="53">
        <v>696</v>
      </c>
    </row>
    <row r="22" s="1" customFormat="1" spans="1:38">
      <c r="A22" s="48" t="s">
        <v>296</v>
      </c>
      <c r="B22" s="49" t="s">
        <v>101</v>
      </c>
      <c r="C22" s="56">
        <v>12</v>
      </c>
      <c r="D22" s="56"/>
      <c r="E22" s="56"/>
      <c r="F22" s="56"/>
      <c r="G22" s="56"/>
      <c r="H22" s="56"/>
      <c r="I22" s="56"/>
      <c r="J22" s="56">
        <v>9</v>
      </c>
      <c r="K22" s="56">
        <v>3</v>
      </c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>
        <v>3</v>
      </c>
      <c r="X22" s="56"/>
      <c r="Y22" s="56"/>
      <c r="Z22" s="56">
        <v>3</v>
      </c>
      <c r="AA22" s="56"/>
      <c r="AB22" s="56"/>
      <c r="AC22" s="56"/>
      <c r="AD22" s="56"/>
      <c r="AE22" s="56">
        <v>3</v>
      </c>
      <c r="AF22" s="56"/>
      <c r="AG22" s="52">
        <v>4880</v>
      </c>
      <c r="AH22" s="53" t="str" cm="1">
        <f t="array" ref="AH22">_xlfn.IFS(AND(AG22&gt;=1000,AG22&lt;=1800),"750*350*500",AND(AG22&gt;=3000,AG22&lt;=4900),"1000*350*500",TRUE,"")</f>
        <v>1000*350*500</v>
      </c>
      <c r="AI22" s="37">
        <v>3</v>
      </c>
      <c r="AJ22" s="54">
        <f t="shared" si="0"/>
        <v>14640</v>
      </c>
      <c r="AK22" s="53">
        <f t="shared" si="1"/>
        <v>3</v>
      </c>
      <c r="AL22" s="53">
        <v>696</v>
      </c>
    </row>
    <row r="23" s="1" customFormat="1" spans="1:38">
      <c r="A23" s="48" t="s">
        <v>297</v>
      </c>
      <c r="B23" s="49" t="s">
        <v>101</v>
      </c>
      <c r="C23" s="56">
        <v>12</v>
      </c>
      <c r="D23" s="56"/>
      <c r="E23" s="56"/>
      <c r="F23" s="56"/>
      <c r="G23" s="56"/>
      <c r="H23" s="56"/>
      <c r="I23" s="56"/>
      <c r="J23" s="56">
        <v>9</v>
      </c>
      <c r="K23" s="56">
        <v>3</v>
      </c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>
        <v>3</v>
      </c>
      <c r="X23" s="56"/>
      <c r="Y23" s="56"/>
      <c r="Z23" s="56">
        <v>3</v>
      </c>
      <c r="AA23" s="56"/>
      <c r="AB23" s="56"/>
      <c r="AC23" s="56"/>
      <c r="AD23" s="56"/>
      <c r="AE23" s="56">
        <v>3</v>
      </c>
      <c r="AF23" s="56"/>
      <c r="AG23" s="52">
        <v>4880</v>
      </c>
      <c r="AH23" s="53" t="str" cm="1">
        <f t="array" ref="AH23">_xlfn.IFS(AND(AG23&gt;=1000,AG23&lt;=1800),"750*350*500",AND(AG23&gt;=3000,AG23&lt;=4900),"1000*350*500",TRUE,"")</f>
        <v>1000*350*500</v>
      </c>
      <c r="AI23" s="37">
        <v>3</v>
      </c>
      <c r="AJ23" s="54">
        <f t="shared" si="0"/>
        <v>14640</v>
      </c>
      <c r="AK23" s="53">
        <f t="shared" si="1"/>
        <v>3</v>
      </c>
      <c r="AL23" s="53">
        <v>696</v>
      </c>
    </row>
    <row r="24" s="1" customFormat="1" ht="15.75" customHeight="1" spans="1:38">
      <c r="A24" s="48" t="s">
        <v>298</v>
      </c>
      <c r="B24" s="49" t="s">
        <v>101</v>
      </c>
      <c r="C24" s="56">
        <v>12</v>
      </c>
      <c r="D24" s="56"/>
      <c r="E24" s="56"/>
      <c r="F24" s="56"/>
      <c r="G24" s="56"/>
      <c r="H24" s="56"/>
      <c r="I24" s="56"/>
      <c r="J24" s="56">
        <v>9</v>
      </c>
      <c r="K24" s="56">
        <v>3</v>
      </c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>
        <v>3</v>
      </c>
      <c r="X24" s="56"/>
      <c r="Y24" s="56"/>
      <c r="Z24" s="56">
        <v>3</v>
      </c>
      <c r="AA24" s="56"/>
      <c r="AB24" s="56"/>
      <c r="AC24" s="56"/>
      <c r="AD24" s="56"/>
      <c r="AE24" s="56">
        <v>3</v>
      </c>
      <c r="AF24" s="56"/>
      <c r="AG24" s="52">
        <v>4880</v>
      </c>
      <c r="AH24" s="53" t="str" cm="1">
        <f t="array" ref="AH24">_xlfn.IFS(AND(AG24&gt;=1000,AG24&lt;=1800),"750*350*500",AND(AG24&gt;=3000,AG24&lt;=4900),"1000*350*500",TRUE,"")</f>
        <v>1000*350*500</v>
      </c>
      <c r="AI24" s="37">
        <v>3</v>
      </c>
      <c r="AJ24" s="54">
        <f t="shared" si="0"/>
        <v>14640</v>
      </c>
      <c r="AK24" s="53">
        <f t="shared" si="1"/>
        <v>3</v>
      </c>
      <c r="AL24" s="53">
        <v>696</v>
      </c>
    </row>
    <row r="25" s="1" customFormat="1" ht="15.75" customHeight="1" spans="1:38">
      <c r="A25" s="48" t="s">
        <v>299</v>
      </c>
      <c r="B25" s="49" t="s">
        <v>101</v>
      </c>
      <c r="C25" s="56">
        <v>12</v>
      </c>
      <c r="D25" s="56"/>
      <c r="E25" s="56"/>
      <c r="F25" s="56"/>
      <c r="G25" s="56"/>
      <c r="H25" s="56"/>
      <c r="I25" s="56"/>
      <c r="J25" s="56">
        <v>9</v>
      </c>
      <c r="K25" s="56">
        <v>3</v>
      </c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>
        <v>3</v>
      </c>
      <c r="X25" s="56"/>
      <c r="Y25" s="56"/>
      <c r="Z25" s="56">
        <v>3</v>
      </c>
      <c r="AA25" s="56"/>
      <c r="AB25" s="56"/>
      <c r="AC25" s="56"/>
      <c r="AD25" s="56"/>
      <c r="AE25" s="56">
        <v>3</v>
      </c>
      <c r="AF25" s="56"/>
      <c r="AG25" s="52">
        <v>4880</v>
      </c>
      <c r="AH25" s="53" t="s">
        <v>102</v>
      </c>
      <c r="AI25" s="37">
        <v>3</v>
      </c>
      <c r="AJ25" s="54">
        <v>14640</v>
      </c>
      <c r="AK25" s="53">
        <v>3</v>
      </c>
      <c r="AL25" s="53">
        <v>696</v>
      </c>
    </row>
    <row r="26" s="1" customFormat="1" ht="15.75" customHeight="1" spans="1:38">
      <c r="A26" s="48" t="s">
        <v>300</v>
      </c>
      <c r="B26" s="49" t="s">
        <v>101</v>
      </c>
      <c r="C26" s="56">
        <v>12</v>
      </c>
      <c r="D26" s="56"/>
      <c r="E26" s="56"/>
      <c r="F26" s="56"/>
      <c r="G26" s="56"/>
      <c r="H26" s="56"/>
      <c r="I26" s="56"/>
      <c r="J26" s="56">
        <v>9</v>
      </c>
      <c r="K26" s="56">
        <v>3</v>
      </c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>
        <v>3</v>
      </c>
      <c r="X26" s="56"/>
      <c r="Y26" s="56"/>
      <c r="Z26" s="56">
        <v>3</v>
      </c>
      <c r="AA26" s="56"/>
      <c r="AB26" s="56"/>
      <c r="AC26" s="56"/>
      <c r="AD26" s="56"/>
      <c r="AE26" s="56">
        <v>3</v>
      </c>
      <c r="AF26" s="56"/>
      <c r="AG26" s="52">
        <v>4880</v>
      </c>
      <c r="AH26" s="53" t="s">
        <v>102</v>
      </c>
      <c r="AI26" s="37">
        <v>3</v>
      </c>
      <c r="AJ26" s="54">
        <v>14640</v>
      </c>
      <c r="AK26" s="53">
        <v>3</v>
      </c>
      <c r="AL26" s="53">
        <v>696</v>
      </c>
    </row>
    <row r="27" s="1" customFormat="1" ht="15.75" customHeight="1" spans="1:38">
      <c r="A27" s="48" t="s">
        <v>301</v>
      </c>
      <c r="B27" s="49" t="s">
        <v>101</v>
      </c>
      <c r="C27" s="56">
        <v>12</v>
      </c>
      <c r="D27" s="56"/>
      <c r="E27" s="56"/>
      <c r="F27" s="56"/>
      <c r="G27" s="56"/>
      <c r="H27" s="56"/>
      <c r="I27" s="56"/>
      <c r="J27" s="56">
        <v>9</v>
      </c>
      <c r="K27" s="56">
        <v>3</v>
      </c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>
        <v>3</v>
      </c>
      <c r="X27" s="56"/>
      <c r="Y27" s="56"/>
      <c r="Z27" s="56">
        <v>3</v>
      </c>
      <c r="AA27" s="56"/>
      <c r="AB27" s="56"/>
      <c r="AC27" s="56"/>
      <c r="AD27" s="56"/>
      <c r="AE27" s="56">
        <v>3</v>
      </c>
      <c r="AF27" s="56"/>
      <c r="AG27" s="52">
        <v>4880</v>
      </c>
      <c r="AH27" s="53" t="s">
        <v>102</v>
      </c>
      <c r="AI27" s="37">
        <v>3</v>
      </c>
      <c r="AJ27" s="54">
        <v>14640</v>
      </c>
      <c r="AK27" s="53">
        <v>3</v>
      </c>
      <c r="AL27" s="53">
        <v>696</v>
      </c>
    </row>
    <row r="28" s="1" customFormat="1" ht="15.75" customHeight="1" spans="1:38">
      <c r="A28" s="48" t="s">
        <v>302</v>
      </c>
      <c r="B28" s="49" t="s">
        <v>101</v>
      </c>
      <c r="C28" s="56">
        <v>12</v>
      </c>
      <c r="D28" s="56"/>
      <c r="E28" s="56"/>
      <c r="F28" s="56"/>
      <c r="G28" s="56"/>
      <c r="H28" s="56"/>
      <c r="I28" s="56"/>
      <c r="J28" s="56">
        <v>9</v>
      </c>
      <c r="K28" s="56">
        <v>3</v>
      </c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>
        <v>3</v>
      </c>
      <c r="X28" s="56"/>
      <c r="Y28" s="56"/>
      <c r="Z28" s="56">
        <v>3</v>
      </c>
      <c r="AA28" s="56"/>
      <c r="AB28" s="56"/>
      <c r="AC28" s="56"/>
      <c r="AD28" s="56"/>
      <c r="AE28" s="56">
        <v>3</v>
      </c>
      <c r="AF28" s="56"/>
      <c r="AG28" s="52">
        <v>4880</v>
      </c>
      <c r="AH28" s="53" t="s">
        <v>102</v>
      </c>
      <c r="AI28" s="37">
        <v>3</v>
      </c>
      <c r="AJ28" s="54">
        <v>14640</v>
      </c>
      <c r="AK28" s="53">
        <v>3</v>
      </c>
      <c r="AL28" s="53">
        <v>696</v>
      </c>
    </row>
    <row r="29" s="1" customFormat="1" ht="15.75" customHeight="1" spans="1:38">
      <c r="A29" s="48" t="s">
        <v>303</v>
      </c>
      <c r="B29" s="49" t="s">
        <v>101</v>
      </c>
      <c r="C29" s="56">
        <v>12</v>
      </c>
      <c r="D29" s="56"/>
      <c r="E29" s="56"/>
      <c r="F29" s="56"/>
      <c r="G29" s="56"/>
      <c r="H29" s="56"/>
      <c r="I29" s="56"/>
      <c r="J29" s="56">
        <v>9</v>
      </c>
      <c r="K29" s="56">
        <v>3</v>
      </c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>
        <v>3</v>
      </c>
      <c r="X29" s="56"/>
      <c r="Y29" s="56"/>
      <c r="Z29" s="56">
        <v>3</v>
      </c>
      <c r="AA29" s="56"/>
      <c r="AB29" s="56"/>
      <c r="AC29" s="56"/>
      <c r="AD29" s="56"/>
      <c r="AE29" s="56">
        <v>3</v>
      </c>
      <c r="AF29" s="56"/>
      <c r="AG29" s="52">
        <v>4880</v>
      </c>
      <c r="AH29" s="53" t="s">
        <v>102</v>
      </c>
      <c r="AI29" s="37">
        <v>3</v>
      </c>
      <c r="AJ29" s="54">
        <v>14640</v>
      </c>
      <c r="AK29" s="53">
        <v>3</v>
      </c>
      <c r="AL29" s="53">
        <v>696</v>
      </c>
    </row>
    <row r="30" spans="1:38">
      <c r="D30" s="2">
        <f>SUM(D4:D29)</f>
        <v>0</v>
      </c>
      <c r="E30" s="2">
        <f>SUM(E4:E29)</f>
        <v>0</v>
      </c>
      <c r="F30" s="2">
        <f>SUM(F4:F29)</f>
        <v>0</v>
      </c>
      <c r="G30" s="2">
        <f>SUM(G4:G29)</f>
        <v>0</v>
      </c>
      <c r="H30" s="2">
        <f>SUM(H4:H29)</f>
        <v>0</v>
      </c>
      <c r="J30" s="2">
        <f t="shared" ref="J30:AF30" si="2">SUM(J4:J29)</f>
        <v>234</v>
      </c>
      <c r="K30" s="2">
        <f t="shared" si="2"/>
        <v>78</v>
      </c>
      <c r="L30" s="2">
        <f t="shared" si="2"/>
        <v>0</v>
      </c>
      <c r="M30" s="2">
        <f t="shared" si="2"/>
        <v>0</v>
      </c>
      <c r="N30" s="2">
        <f t="shared" si="2"/>
        <v>0</v>
      </c>
      <c r="O30" s="2">
        <f t="shared" si="2"/>
        <v>0</v>
      </c>
      <c r="P30" s="2">
        <f t="shared" si="2"/>
        <v>0</v>
      </c>
      <c r="Q30" s="2">
        <f t="shared" si="2"/>
        <v>0</v>
      </c>
      <c r="R30" s="2">
        <f t="shared" si="2"/>
        <v>0</v>
      </c>
      <c r="S30" s="2">
        <f t="shared" si="2"/>
        <v>0</v>
      </c>
      <c r="T30" s="2">
        <f t="shared" si="2"/>
        <v>0</v>
      </c>
      <c r="U30" s="2">
        <f t="shared" si="2"/>
        <v>0</v>
      </c>
      <c r="V30" s="2">
        <f t="shared" si="2"/>
        <v>0</v>
      </c>
      <c r="W30" s="2">
        <f t="shared" si="2"/>
        <v>78</v>
      </c>
      <c r="X30" s="2">
        <f t="shared" si="2"/>
        <v>0</v>
      </c>
      <c r="Y30" s="2">
        <f t="shared" si="2"/>
        <v>0</v>
      </c>
      <c r="Z30" s="2">
        <f t="shared" si="2"/>
        <v>78</v>
      </c>
      <c r="AA30" s="2">
        <f t="shared" si="2"/>
        <v>0</v>
      </c>
      <c r="AB30" s="2">
        <f t="shared" si="2"/>
        <v>0</v>
      </c>
      <c r="AC30" s="2">
        <f t="shared" si="2"/>
        <v>0</v>
      </c>
      <c r="AD30" s="2">
        <f t="shared" si="2"/>
        <v>0</v>
      </c>
      <c r="AE30" s="2">
        <f t="shared" si="2"/>
        <v>78</v>
      </c>
      <c r="AF30" s="2">
        <f t="shared" si="2"/>
        <v>0</v>
      </c>
      <c r="AK30" s="2">
        <f>SUM(AK4:AK29)</f>
        <v>78</v>
      </c>
    </row>
    <row r="31" spans="1:38">
      <c r="J31" s="2">
        <v>14.95</v>
      </c>
      <c r="K31" s="2">
        <v>15.59</v>
      </c>
      <c r="W31" s="2">
        <v>22.29</v>
      </c>
      <c r="Z31" s="2">
        <v>43.76</v>
      </c>
      <c r="AE31" s="2">
        <v>65.68</v>
      </c>
      <c r="AF31" s="2">
        <f>J31*3+K31+W31+Z31+AE31</f>
        <v>192.17</v>
      </c>
    </row>
    <row r="32" spans="1:38">
      <c r="A32" s="31" t="s">
        <v>208</v>
      </c>
      <c r="B32" s="32"/>
      <c r="C32" s="32"/>
      <c r="D32" s="32"/>
      <c r="E32" s="17"/>
      <c r="AF32" s="2">
        <f>AF31*2+28*2+25</f>
        <v>465.34</v>
      </c>
    </row>
    <row r="33" spans="1:5">
      <c r="A33" s="31" t="s">
        <v>209</v>
      </c>
      <c r="B33" s="31">
        <v>78</v>
      </c>
      <c r="C33" s="31"/>
      <c r="D33" s="31"/>
      <c r="E33" s="17"/>
    </row>
    <row r="34" spans="1:5">
      <c r="A34" s="31" t="s">
        <v>210</v>
      </c>
      <c r="B34" s="31" t="s">
        <v>102</v>
      </c>
      <c r="C34" s="31"/>
      <c r="D34" s="31">
        <v>78</v>
      </c>
      <c r="E34" s="57"/>
    </row>
    <row r="35" spans="1:5">
      <c r="A35" s="31" t="s">
        <v>211</v>
      </c>
      <c r="B35" s="31">
        <v>39</v>
      </c>
      <c r="C35" s="17"/>
      <c r="D35" s="32"/>
      <c r="E35" s="32"/>
    </row>
    <row r="36" spans="1:5">
      <c r="A36" s="31" t="s">
        <v>212</v>
      </c>
      <c r="B36" s="31" t="s">
        <v>213</v>
      </c>
      <c r="C36" s="31"/>
      <c r="D36" s="31">
        <v>39</v>
      </c>
      <c r="E36" s="58">
        <f>1.05*1.05*1.15*D36</f>
        <v>49.447125</v>
      </c>
    </row>
    <row r="37" spans="1:5">
      <c r="A37" s="31" t="s">
        <v>217</v>
      </c>
      <c r="B37" s="34">
        <f>SUM(E36:E36)</f>
        <v>49.447125</v>
      </c>
      <c r="C37" s="17"/>
      <c r="D37" s="31"/>
      <c r="E37" s="59"/>
    </row>
    <row r="38" spans="1:5">
      <c r="A38" s="31" t="s">
        <v>218</v>
      </c>
      <c r="B38" s="36">
        <f>Batch_01_GW!K41</f>
        <v>18148.26</v>
      </c>
      <c r="C38" s="17"/>
      <c r="D38" s="32"/>
      <c r="E38" s="32"/>
    </row>
  </sheetData>
  <autoFilter xmlns:etc="http://www.wps.cn/officeDocument/2017/etCustomData" ref="B1:B29" etc:filterBottomFollowUsedRange="0">
    <extLst/>
  </autoFilter>
  <mergeCells count="11">
    <mergeCell ref="B34:C34"/>
    <mergeCell ref="B36:C36"/>
    <mergeCell ref="A1:A3"/>
    <mergeCell ref="B1:B3"/>
    <mergeCell ref="C1:C3"/>
    <mergeCell ref="AG1:AG3"/>
    <mergeCell ref="AH1:AH3"/>
    <mergeCell ref="AI1:AI3"/>
    <mergeCell ref="AJ1:AJ3"/>
    <mergeCell ref="AK1:AK3"/>
    <mergeCell ref="AL1:AL3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AS88"/>
  <sheetViews>
    <sheetView tabSelected="1" view="pageBreakPreview" zoomScaleNormal="85" workbookViewId="0">
      <pane xSplit="3" ySplit="3" topLeftCell="J4" activePane="bottomRight" state="frozen"/>
      <selection/>
      <selection pane="topRight"/>
      <selection pane="bottomLeft"/>
      <selection pane="bottomRight" activeCell="A7" sqref="$A7:$XFD7"/>
    </sheetView>
  </sheetViews>
  <sheetFormatPr defaultColWidth="9" defaultRowHeight="15"/>
  <cols>
    <col min="1" max="1" width="13.6666666666667" style="2" customWidth="1"/>
    <col min="2" max="2" width="13.4" style="2" customWidth="1"/>
    <col min="3" max="3" width="8.66666666666667" style="2" customWidth="1"/>
    <col min="4" max="32" width="7.93333333333333" style="2" customWidth="1"/>
    <col min="33" max="39" width="7.93333333333333" style="2" hidden="1" customWidth="1"/>
    <col min="40" max="40" width="9" style="2" hidden="1" customWidth="1"/>
    <col min="41" max="41" width="13.9833333333333" style="2" customWidth="1"/>
    <col min="42" max="42" width="9" style="2"/>
    <col min="43" max="43" width="9" style="2" hidden="1" customWidth="1"/>
    <col min="44" max="44" width="14.2416666666667" style="2" hidden="1" customWidth="1"/>
    <col min="45" max="45" width="9" style="2" hidden="1" customWidth="1"/>
    <col min="46" max="16384" width="9" style="2"/>
  </cols>
  <sheetData>
    <row r="1" spans="1:45">
      <c r="A1" s="11" t="s">
        <v>0</v>
      </c>
      <c r="B1" s="12" t="s">
        <v>1</v>
      </c>
      <c r="C1" s="13" t="s">
        <v>2</v>
      </c>
      <c r="D1" s="14" t="s">
        <v>3</v>
      </c>
      <c r="E1" s="14" t="s">
        <v>3</v>
      </c>
      <c r="F1" s="14" t="s">
        <v>3</v>
      </c>
      <c r="G1" s="14" t="s">
        <v>3</v>
      </c>
      <c r="H1" s="14" t="s">
        <v>3</v>
      </c>
      <c r="I1" s="14" t="s">
        <v>3</v>
      </c>
      <c r="J1" s="14" t="s">
        <v>3</v>
      </c>
      <c r="K1" s="14" t="s">
        <v>3</v>
      </c>
      <c r="L1" s="14" t="s">
        <v>3</v>
      </c>
      <c r="M1" s="14" t="s">
        <v>3</v>
      </c>
      <c r="N1" s="14" t="s">
        <v>3</v>
      </c>
      <c r="O1" s="14" t="s">
        <v>3</v>
      </c>
      <c r="P1" s="14" t="s">
        <v>3</v>
      </c>
      <c r="Q1" s="14" t="s">
        <v>3</v>
      </c>
      <c r="R1" s="14" t="s">
        <v>3</v>
      </c>
      <c r="S1" s="14" t="s">
        <v>3</v>
      </c>
      <c r="T1" s="14" t="s">
        <v>3</v>
      </c>
      <c r="U1" s="14" t="s">
        <v>3</v>
      </c>
      <c r="V1" s="15" t="s">
        <v>4</v>
      </c>
      <c r="W1" s="15" t="s">
        <v>4</v>
      </c>
      <c r="X1" s="15" t="s">
        <v>4</v>
      </c>
      <c r="Y1" s="15" t="s">
        <v>4</v>
      </c>
      <c r="Z1" s="15" t="s">
        <v>4</v>
      </c>
      <c r="AA1" s="15" t="s">
        <v>4</v>
      </c>
      <c r="AB1" s="15" t="s">
        <v>4</v>
      </c>
      <c r="AC1" s="15" t="s">
        <v>4</v>
      </c>
      <c r="AD1" s="15" t="s">
        <v>4</v>
      </c>
      <c r="AE1" s="15" t="s">
        <v>4</v>
      </c>
      <c r="AF1" s="15" t="s">
        <v>4</v>
      </c>
      <c r="AG1" s="16" t="s">
        <v>4</v>
      </c>
      <c r="AH1" s="16" t="s">
        <v>4</v>
      </c>
      <c r="AI1" s="16" t="s">
        <v>4</v>
      </c>
      <c r="AJ1" s="16" t="s">
        <v>4</v>
      </c>
      <c r="AK1" s="16" t="s">
        <v>4</v>
      </c>
      <c r="AL1" s="16" t="s">
        <v>4</v>
      </c>
      <c r="AM1" s="16" t="s">
        <v>4</v>
      </c>
      <c r="AN1" s="37" t="s">
        <v>5</v>
      </c>
      <c r="AO1" s="17" t="s">
        <v>6</v>
      </c>
      <c r="AP1" s="17" t="s">
        <v>7</v>
      </c>
      <c r="AQ1" s="38" t="s">
        <v>8</v>
      </c>
      <c r="AR1" s="19" t="s">
        <v>6</v>
      </c>
      <c r="AS1" s="19" t="s">
        <v>9</v>
      </c>
    </row>
    <row r="2" ht="16.5" customHeight="1" spans="1:45">
      <c r="A2" s="11"/>
      <c r="B2" s="12"/>
      <c r="C2" s="13"/>
      <c r="D2" s="13" t="s">
        <v>10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15</v>
      </c>
      <c r="J2" s="13" t="s">
        <v>16</v>
      </c>
      <c r="K2" s="13" t="s">
        <v>17</v>
      </c>
      <c r="L2" s="13" t="s">
        <v>18</v>
      </c>
      <c r="M2" s="13" t="s">
        <v>19</v>
      </c>
      <c r="N2" s="13" t="s">
        <v>20</v>
      </c>
      <c r="O2" s="13" t="s">
        <v>21</v>
      </c>
      <c r="P2" s="13" t="s">
        <v>22</v>
      </c>
      <c r="Q2" s="13" t="s">
        <v>23</v>
      </c>
      <c r="R2" s="13" t="s">
        <v>24</v>
      </c>
      <c r="S2" s="13" t="s">
        <v>25</v>
      </c>
      <c r="T2" s="13" t="s">
        <v>26</v>
      </c>
      <c r="U2" s="13" t="s">
        <v>27</v>
      </c>
      <c r="V2" s="13" t="s">
        <v>28</v>
      </c>
      <c r="W2" s="13" t="s">
        <v>29</v>
      </c>
      <c r="X2" s="13" t="s">
        <v>30</v>
      </c>
      <c r="Y2" s="13" t="s">
        <v>31</v>
      </c>
      <c r="Z2" s="13" t="s">
        <v>32</v>
      </c>
      <c r="AA2" s="13" t="s">
        <v>33</v>
      </c>
      <c r="AB2" s="13" t="s">
        <v>34</v>
      </c>
      <c r="AC2" s="13" t="s">
        <v>35</v>
      </c>
      <c r="AD2" s="13" t="s">
        <v>36</v>
      </c>
      <c r="AE2" s="13" t="s">
        <v>37</v>
      </c>
      <c r="AF2" s="13" t="s">
        <v>38</v>
      </c>
      <c r="AG2" s="13" t="s">
        <v>39</v>
      </c>
      <c r="AH2" s="13" t="s">
        <v>40</v>
      </c>
      <c r="AI2" s="13" t="s">
        <v>41</v>
      </c>
      <c r="AJ2" s="13" t="s">
        <v>42</v>
      </c>
      <c r="AK2" s="13" t="s">
        <v>43</v>
      </c>
      <c r="AL2" s="13" t="s">
        <v>44</v>
      </c>
      <c r="AM2" s="13" t="s">
        <v>45</v>
      </c>
      <c r="AN2" s="37"/>
      <c r="AO2" s="17"/>
      <c r="AP2" s="17"/>
      <c r="AQ2" s="39"/>
      <c r="AR2" s="20"/>
      <c r="AS2" s="20"/>
    </row>
    <row r="3" spans="1:45">
      <c r="A3" s="11"/>
      <c r="B3" s="12"/>
      <c r="C3" s="21"/>
      <c r="D3" s="22">
        <v>571</v>
      </c>
      <c r="E3" s="22">
        <v>571</v>
      </c>
      <c r="F3" s="22">
        <v>571</v>
      </c>
      <c r="G3" s="22">
        <v>571</v>
      </c>
      <c r="H3" s="22">
        <v>571.040026246719</v>
      </c>
      <c r="I3" s="22"/>
      <c r="J3" s="22">
        <v>494</v>
      </c>
      <c r="K3" s="22">
        <v>513</v>
      </c>
      <c r="L3" s="22">
        <v>513</v>
      </c>
      <c r="M3" s="22">
        <v>513</v>
      </c>
      <c r="N3" s="22">
        <v>504</v>
      </c>
      <c r="O3" s="22">
        <v>493</v>
      </c>
      <c r="P3" s="22">
        <v>513</v>
      </c>
      <c r="Q3" s="22">
        <v>513</v>
      </c>
      <c r="R3" s="22">
        <v>513</v>
      </c>
      <c r="S3" s="22">
        <v>503</v>
      </c>
      <c r="T3" s="22">
        <v>268</v>
      </c>
      <c r="U3" s="22">
        <v>268</v>
      </c>
      <c r="V3" s="22">
        <v>412</v>
      </c>
      <c r="W3" s="22">
        <v>484</v>
      </c>
      <c r="X3" s="22">
        <v>540</v>
      </c>
      <c r="Y3" s="22">
        <v>748</v>
      </c>
      <c r="Z3" s="22">
        <v>956</v>
      </c>
      <c r="AA3" s="22">
        <v>1008</v>
      </c>
      <c r="AB3" s="22">
        <v>1028</v>
      </c>
      <c r="AC3" s="22">
        <v>1216</v>
      </c>
      <c r="AD3" s="22">
        <v>1226</v>
      </c>
      <c r="AE3" s="22">
        <v>1426</v>
      </c>
      <c r="AF3" s="22">
        <v>1436</v>
      </c>
      <c r="AG3" s="22">
        <v>30</v>
      </c>
      <c r="AH3" s="22">
        <v>72</v>
      </c>
      <c r="AI3" s="22">
        <v>112</v>
      </c>
      <c r="AJ3" s="22">
        <v>152</v>
      </c>
      <c r="AK3" s="22">
        <v>192</v>
      </c>
      <c r="AL3" s="22">
        <v>232</v>
      </c>
      <c r="AM3" s="22">
        <v>272</v>
      </c>
      <c r="AN3" s="37"/>
      <c r="AO3" s="17"/>
      <c r="AP3" s="17"/>
      <c r="AQ3" s="40"/>
      <c r="AR3" s="23"/>
      <c r="AS3" s="23"/>
    </row>
    <row r="4" customFormat="1" spans="1:45">
      <c r="A4" s="11"/>
      <c r="B4" s="24"/>
      <c r="C4" s="13"/>
      <c r="D4" s="25" t="s">
        <v>46</v>
      </c>
      <c r="E4" s="25" t="s">
        <v>47</v>
      </c>
      <c r="F4" s="25" t="s">
        <v>48</v>
      </c>
      <c r="G4" s="25" t="s">
        <v>49</v>
      </c>
      <c r="H4" s="25" t="s">
        <v>50</v>
      </c>
      <c r="I4" s="25" t="s">
        <v>51</v>
      </c>
      <c r="J4" s="25" t="s">
        <v>52</v>
      </c>
      <c r="K4" s="25" t="s">
        <v>53</v>
      </c>
      <c r="L4" s="25" t="s">
        <v>54</v>
      </c>
      <c r="M4" s="25" t="s">
        <v>55</v>
      </c>
      <c r="N4" s="25" t="s">
        <v>56</v>
      </c>
      <c r="O4" s="25" t="s">
        <v>57</v>
      </c>
      <c r="P4" s="25" t="s">
        <v>58</v>
      </c>
      <c r="Q4" s="25" t="s">
        <v>59</v>
      </c>
      <c r="R4" s="25" t="s">
        <v>60</v>
      </c>
      <c r="S4" s="25" t="s">
        <v>61</v>
      </c>
      <c r="T4" s="25" t="s">
        <v>62</v>
      </c>
      <c r="U4" s="25" t="s">
        <v>63</v>
      </c>
      <c r="V4" s="25" t="s">
        <v>64</v>
      </c>
      <c r="W4" s="25" t="s">
        <v>65</v>
      </c>
      <c r="X4" s="25" t="s">
        <v>66</v>
      </c>
      <c r="Y4" s="25" t="s">
        <v>67</v>
      </c>
      <c r="Z4" s="25" t="s">
        <v>68</v>
      </c>
      <c r="AA4" s="25" t="s">
        <v>69</v>
      </c>
      <c r="AB4" s="25" t="s">
        <v>70</v>
      </c>
      <c r="AC4" s="25" t="s">
        <v>71</v>
      </c>
      <c r="AD4" s="25" t="s">
        <v>72</v>
      </c>
      <c r="AE4" s="25" t="s">
        <v>73</v>
      </c>
      <c r="AF4" s="25" t="s">
        <v>74</v>
      </c>
      <c r="AG4" s="25" t="s">
        <v>75</v>
      </c>
      <c r="AH4" s="25" t="s">
        <v>76</v>
      </c>
      <c r="AI4" s="25" t="s">
        <v>77</v>
      </c>
      <c r="AJ4" s="25" t="s">
        <v>78</v>
      </c>
      <c r="AK4" s="25" t="s">
        <v>79</v>
      </c>
      <c r="AL4" s="25" t="s">
        <v>80</v>
      </c>
      <c r="AM4" s="25" t="s">
        <v>81</v>
      </c>
      <c r="AN4" s="3"/>
      <c r="AO4" s="17"/>
      <c r="AP4" s="17"/>
      <c r="AQ4" s="40"/>
      <c r="AR4" s="23"/>
      <c r="AS4" s="23"/>
    </row>
    <row r="5" customFormat="1" spans="1:45">
      <c r="A5" s="11"/>
      <c r="B5" s="24"/>
      <c r="C5" s="13"/>
      <c r="D5" s="25" t="s">
        <v>82</v>
      </c>
      <c r="E5" s="25" t="s">
        <v>83</v>
      </c>
      <c r="F5" s="25" t="s">
        <v>84</v>
      </c>
      <c r="G5" s="25" t="s">
        <v>85</v>
      </c>
      <c r="H5" s="25" t="s">
        <v>86</v>
      </c>
      <c r="I5" s="25" t="s">
        <v>87</v>
      </c>
      <c r="J5" s="25" t="s">
        <v>88</v>
      </c>
      <c r="K5" s="25" t="s">
        <v>89</v>
      </c>
      <c r="L5" s="25" t="s">
        <v>90</v>
      </c>
      <c r="M5" s="25" t="s">
        <v>91</v>
      </c>
      <c r="N5" s="25" t="s">
        <v>92</v>
      </c>
      <c r="O5" s="25" t="s">
        <v>93</v>
      </c>
      <c r="P5" s="25" t="s">
        <v>94</v>
      </c>
      <c r="Q5" s="25" t="s">
        <v>95</v>
      </c>
      <c r="R5" s="25" t="s">
        <v>96</v>
      </c>
      <c r="S5" s="25" t="s">
        <v>97</v>
      </c>
      <c r="T5" s="25" t="s">
        <v>98</v>
      </c>
      <c r="U5" s="25" t="s">
        <v>99</v>
      </c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3"/>
      <c r="AO5" s="17"/>
      <c r="AP5" s="17"/>
      <c r="AQ5" s="40"/>
      <c r="AR5" s="20"/>
      <c r="AS5" s="20"/>
    </row>
    <row r="6" s="1" customFormat="1" spans="1:45">
      <c r="A6" s="1" t="s">
        <v>137</v>
      </c>
      <c r="B6" s="1" t="s">
        <v>118</v>
      </c>
      <c r="C6" s="1">
        <v>8</v>
      </c>
      <c r="D6" s="4"/>
      <c r="E6" s="4"/>
      <c r="F6" s="4"/>
      <c r="G6" s="4"/>
      <c r="H6" s="4"/>
      <c r="I6" s="4"/>
      <c r="J6" s="4">
        <v>5</v>
      </c>
      <c r="K6" s="4">
        <v>2</v>
      </c>
      <c r="L6" s="4"/>
      <c r="M6" s="4"/>
      <c r="N6" s="4"/>
      <c r="O6" s="4"/>
      <c r="P6" s="4"/>
      <c r="Q6" s="4"/>
      <c r="R6" s="4"/>
      <c r="S6" s="4">
        <v>1</v>
      </c>
      <c r="T6" s="4"/>
      <c r="U6" s="4"/>
      <c r="V6" s="4"/>
      <c r="W6" s="4">
        <v>2</v>
      </c>
      <c r="X6" s="4"/>
      <c r="Y6" s="4"/>
      <c r="Z6" s="4">
        <v>2</v>
      </c>
      <c r="AA6" s="4"/>
      <c r="AB6" s="4"/>
      <c r="AC6" s="4"/>
      <c r="AD6" s="4"/>
      <c r="AE6" s="4"/>
      <c r="AF6" s="4">
        <v>2</v>
      </c>
      <c r="AG6" s="4">
        <v>4</v>
      </c>
      <c r="AH6" s="4">
        <v>8</v>
      </c>
      <c r="AI6" s="4"/>
      <c r="AJ6" s="4"/>
      <c r="AK6" s="4"/>
      <c r="AL6" s="4"/>
      <c r="AM6" s="4"/>
      <c r="AN6" s="1">
        <v>1481</v>
      </c>
      <c r="AO6" s="41" t="s">
        <v>102</v>
      </c>
      <c r="AP6" s="41">
        <v>2</v>
      </c>
      <c r="AQ6" s="42">
        <v>796</v>
      </c>
      <c r="AR6" s="28" t="s">
        <v>103</v>
      </c>
      <c r="AS6" s="28">
        <v>1</v>
      </c>
    </row>
    <row r="7" s="1" customFormat="1" spans="1:45">
      <c r="A7" s="1" t="s">
        <v>138</v>
      </c>
      <c r="B7" s="1" t="s">
        <v>101</v>
      </c>
      <c r="C7" s="1">
        <v>12</v>
      </c>
      <c r="D7" s="4"/>
      <c r="E7" s="4"/>
      <c r="F7" s="4"/>
      <c r="G7" s="4"/>
      <c r="H7" s="4"/>
      <c r="I7" s="4"/>
      <c r="J7" s="4">
        <v>9</v>
      </c>
      <c r="K7" s="4">
        <v>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>
        <v>3</v>
      </c>
      <c r="X7" s="4"/>
      <c r="Y7" s="4"/>
      <c r="Z7" s="4">
        <v>3</v>
      </c>
      <c r="AA7" s="4"/>
      <c r="AB7" s="4"/>
      <c r="AC7" s="4"/>
      <c r="AD7" s="4"/>
      <c r="AE7" s="4">
        <v>3</v>
      </c>
      <c r="AF7" s="4"/>
      <c r="AG7" s="4">
        <v>4</v>
      </c>
      <c r="AH7" s="4">
        <v>8</v>
      </c>
      <c r="AI7" s="4"/>
      <c r="AJ7" s="4"/>
      <c r="AK7" s="4"/>
      <c r="AL7" s="4"/>
      <c r="AM7" s="4"/>
      <c r="AN7" s="1">
        <v>1265</v>
      </c>
      <c r="AO7" s="41" t="s">
        <v>102</v>
      </c>
      <c r="AP7" s="41">
        <v>3</v>
      </c>
      <c r="AQ7" s="42">
        <v>1100</v>
      </c>
      <c r="AR7" s="28"/>
      <c r="AS7" s="28"/>
    </row>
    <row r="8" s="1" customFormat="1" spans="1:45">
      <c r="A8" s="1" t="s">
        <v>139</v>
      </c>
      <c r="B8" s="1" t="s">
        <v>101</v>
      </c>
      <c r="C8" s="1">
        <v>12</v>
      </c>
      <c r="D8" s="4"/>
      <c r="E8" s="4"/>
      <c r="F8" s="4"/>
      <c r="G8" s="4"/>
      <c r="H8" s="4"/>
      <c r="I8" s="4"/>
      <c r="J8" s="4">
        <v>9</v>
      </c>
      <c r="K8" s="4">
        <v>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>
        <v>3</v>
      </c>
      <c r="X8" s="4"/>
      <c r="Y8" s="4"/>
      <c r="Z8" s="4">
        <v>3</v>
      </c>
      <c r="AA8" s="4"/>
      <c r="AB8" s="4"/>
      <c r="AC8" s="4"/>
      <c r="AD8" s="4"/>
      <c r="AE8" s="4">
        <v>3</v>
      </c>
      <c r="AF8" s="4"/>
      <c r="AG8" s="4">
        <v>4</v>
      </c>
      <c r="AH8" s="4">
        <v>4</v>
      </c>
      <c r="AI8" s="4"/>
      <c r="AJ8" s="4"/>
      <c r="AK8" s="4"/>
      <c r="AL8" s="4"/>
      <c r="AM8" s="4"/>
      <c r="AN8" s="1">
        <v>1265</v>
      </c>
      <c r="AO8" s="41" t="s">
        <v>102</v>
      </c>
      <c r="AP8" s="41">
        <v>3</v>
      </c>
      <c r="AQ8" s="42">
        <v>348</v>
      </c>
      <c r="AR8" s="28" t="s">
        <v>102</v>
      </c>
      <c r="AS8" s="28">
        <v>1</v>
      </c>
    </row>
    <row r="9" s="1" customFormat="1" spans="1:45">
      <c r="A9" s="1" t="s">
        <v>140</v>
      </c>
      <c r="B9" s="1" t="s">
        <v>101</v>
      </c>
      <c r="C9" s="1">
        <v>12</v>
      </c>
      <c r="D9" s="4"/>
      <c r="E9" s="4"/>
      <c r="F9" s="4"/>
      <c r="G9" s="4"/>
      <c r="H9" s="4"/>
      <c r="I9" s="4"/>
      <c r="J9" s="4">
        <v>9</v>
      </c>
      <c r="K9" s="4">
        <v>3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>
        <v>3</v>
      </c>
      <c r="X9" s="4"/>
      <c r="Y9" s="4"/>
      <c r="Z9" s="4">
        <v>3</v>
      </c>
      <c r="AA9" s="4"/>
      <c r="AB9" s="4"/>
      <c r="AC9" s="4"/>
      <c r="AD9" s="4"/>
      <c r="AE9" s="4">
        <v>3</v>
      </c>
      <c r="AF9" s="4"/>
      <c r="AG9" s="4">
        <v>4</v>
      </c>
      <c r="AH9" s="4">
        <v>4</v>
      </c>
      <c r="AI9" s="4"/>
      <c r="AJ9" s="4"/>
      <c r="AK9" s="4"/>
      <c r="AL9" s="4"/>
      <c r="AM9" s="4"/>
      <c r="AN9" s="1">
        <v>1481</v>
      </c>
      <c r="AO9" s="41" t="s">
        <v>102</v>
      </c>
      <c r="AP9" s="41">
        <v>3</v>
      </c>
      <c r="AQ9" s="42">
        <v>1100</v>
      </c>
      <c r="AR9" s="28"/>
      <c r="AS9" s="28"/>
    </row>
    <row r="10" s="1" customFormat="1" spans="1:45">
      <c r="A10" s="1" t="s">
        <v>141</v>
      </c>
      <c r="B10" s="1" t="s">
        <v>101</v>
      </c>
      <c r="C10" s="1">
        <v>12</v>
      </c>
      <c r="D10" s="4"/>
      <c r="E10" s="4"/>
      <c r="F10" s="4"/>
      <c r="G10" s="4"/>
      <c r="H10" s="4"/>
      <c r="I10" s="4"/>
      <c r="J10" s="4">
        <v>9</v>
      </c>
      <c r="K10" s="4">
        <v>3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>
        <v>3</v>
      </c>
      <c r="X10" s="4"/>
      <c r="Y10" s="4"/>
      <c r="Z10" s="4">
        <v>3</v>
      </c>
      <c r="AA10" s="4"/>
      <c r="AB10" s="4"/>
      <c r="AC10" s="4"/>
      <c r="AD10" s="4"/>
      <c r="AE10" s="4">
        <v>3</v>
      </c>
      <c r="AF10" s="4"/>
      <c r="AG10" s="4">
        <v>4</v>
      </c>
      <c r="AH10" s="4">
        <v>8</v>
      </c>
      <c r="AI10" s="4"/>
      <c r="AJ10" s="4"/>
      <c r="AK10" s="4"/>
      <c r="AL10" s="4"/>
      <c r="AM10" s="4"/>
      <c r="AN10" s="1">
        <v>1481</v>
      </c>
      <c r="AO10" s="41" t="s">
        <v>102</v>
      </c>
      <c r="AP10" s="41">
        <v>3</v>
      </c>
      <c r="AQ10" s="42">
        <v>1100</v>
      </c>
      <c r="AR10" s="28"/>
      <c r="AS10" s="28"/>
    </row>
    <row r="11" s="1" customFormat="1" spans="1:45">
      <c r="A11" s="1" t="s">
        <v>142</v>
      </c>
      <c r="B11" s="1" t="s">
        <v>101</v>
      </c>
      <c r="C11" s="1">
        <v>12</v>
      </c>
      <c r="D11" s="4"/>
      <c r="E11" s="4"/>
      <c r="F11" s="4"/>
      <c r="G11" s="4"/>
      <c r="H11" s="4"/>
      <c r="I11" s="4"/>
      <c r="J11" s="4">
        <v>9</v>
      </c>
      <c r="K11" s="4">
        <v>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>
        <v>3</v>
      </c>
      <c r="X11" s="4"/>
      <c r="Y11" s="4"/>
      <c r="Z11" s="4">
        <v>3</v>
      </c>
      <c r="AA11" s="4"/>
      <c r="AB11" s="4"/>
      <c r="AC11" s="4"/>
      <c r="AD11" s="4"/>
      <c r="AE11" s="4">
        <v>3</v>
      </c>
      <c r="AF11" s="4"/>
      <c r="AG11" s="4">
        <v>4</v>
      </c>
      <c r="AH11" s="4">
        <v>8</v>
      </c>
      <c r="AI11" s="4"/>
      <c r="AJ11" s="4"/>
      <c r="AK11" s="4"/>
      <c r="AL11" s="4"/>
      <c r="AM11" s="4"/>
      <c r="AN11" s="1">
        <v>1481</v>
      </c>
      <c r="AO11" s="41" t="s">
        <v>102</v>
      </c>
      <c r="AP11" s="41">
        <v>3</v>
      </c>
      <c r="AQ11" s="42">
        <v>1100</v>
      </c>
      <c r="AR11" s="28"/>
      <c r="AS11" s="28"/>
    </row>
    <row r="12" s="1" customFormat="1" spans="1:45">
      <c r="A12" s="1" t="s">
        <v>143</v>
      </c>
      <c r="B12" s="1" t="s">
        <v>101</v>
      </c>
      <c r="C12" s="1">
        <v>12</v>
      </c>
      <c r="D12" s="4"/>
      <c r="E12" s="4"/>
      <c r="F12" s="4"/>
      <c r="G12" s="4"/>
      <c r="H12" s="4"/>
      <c r="I12" s="4"/>
      <c r="J12" s="4">
        <v>9</v>
      </c>
      <c r="K12" s="4">
        <v>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>
        <v>3</v>
      </c>
      <c r="X12" s="4"/>
      <c r="Y12" s="4"/>
      <c r="Z12" s="4">
        <v>3</v>
      </c>
      <c r="AA12" s="4"/>
      <c r="AB12" s="4"/>
      <c r="AC12" s="4"/>
      <c r="AD12" s="4"/>
      <c r="AE12" s="4">
        <v>3</v>
      </c>
      <c r="AF12" s="4"/>
      <c r="AG12" s="4">
        <v>4</v>
      </c>
      <c r="AH12" s="4">
        <v>8</v>
      </c>
      <c r="AI12" s="4"/>
      <c r="AJ12" s="4"/>
      <c r="AK12" s="4"/>
      <c r="AL12" s="4"/>
      <c r="AM12" s="4"/>
      <c r="AN12" s="1">
        <v>1481</v>
      </c>
      <c r="AO12" s="41" t="s">
        <v>102</v>
      </c>
      <c r="AP12" s="41">
        <v>3</v>
      </c>
      <c r="AQ12" s="42">
        <v>1100</v>
      </c>
      <c r="AR12" s="28"/>
      <c r="AS12" s="28"/>
    </row>
    <row r="13" s="1" customFormat="1" spans="1:45">
      <c r="A13" s="1" t="s">
        <v>148</v>
      </c>
      <c r="B13" s="1" t="s">
        <v>149</v>
      </c>
      <c r="C13" s="1">
        <v>10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>
        <v>3</v>
      </c>
      <c r="Q13" s="4">
        <v>2</v>
      </c>
      <c r="R13" s="4"/>
      <c r="S13" s="4"/>
      <c r="T13" s="4"/>
      <c r="U13" s="4">
        <v>5</v>
      </c>
      <c r="V13" s="4"/>
      <c r="W13" s="4">
        <v>5</v>
      </c>
      <c r="X13" s="4"/>
      <c r="Y13" s="4"/>
      <c r="Z13" s="4"/>
      <c r="AA13" s="4"/>
      <c r="AB13" s="4"/>
      <c r="AC13" s="4"/>
      <c r="AD13" s="4"/>
      <c r="AE13" s="4"/>
      <c r="AF13" s="4"/>
      <c r="AG13" s="4">
        <v>4</v>
      </c>
      <c r="AH13" s="4">
        <v>4</v>
      </c>
      <c r="AI13" s="4"/>
      <c r="AJ13" s="4"/>
      <c r="AK13" s="4"/>
      <c r="AL13" s="4"/>
      <c r="AM13" s="4"/>
      <c r="AN13" s="1">
        <v>4880</v>
      </c>
      <c r="AO13" s="41" t="s">
        <v>102</v>
      </c>
      <c r="AP13" s="41">
        <v>2</v>
      </c>
      <c r="AQ13" s="42">
        <v>696</v>
      </c>
      <c r="AR13" s="28" t="s">
        <v>102</v>
      </c>
      <c r="AS13" s="28">
        <v>1</v>
      </c>
    </row>
    <row r="14" s="1" customFormat="1" spans="1:45">
      <c r="A14" s="8" t="s">
        <v>150</v>
      </c>
      <c r="B14" s="1" t="s">
        <v>151</v>
      </c>
      <c r="C14" s="1">
        <v>4</v>
      </c>
      <c r="D14" s="4"/>
      <c r="E14" s="4"/>
      <c r="F14" s="4"/>
      <c r="G14" s="4"/>
      <c r="H14" s="4"/>
      <c r="I14" s="4"/>
      <c r="J14" s="4">
        <v>4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>
        <v>2</v>
      </c>
      <c r="X14" s="4"/>
      <c r="Y14" s="4"/>
      <c r="Z14" s="4"/>
      <c r="AA14" s="4"/>
      <c r="AB14" s="4"/>
      <c r="AC14" s="4"/>
      <c r="AD14" s="4"/>
      <c r="AE14" s="4"/>
      <c r="AF14" s="4"/>
      <c r="AG14" s="4">
        <v>4</v>
      </c>
      <c r="AH14" s="4">
        <v>4</v>
      </c>
      <c r="AI14" s="4"/>
      <c r="AJ14" s="4"/>
      <c r="AK14" s="4"/>
      <c r="AL14" s="4"/>
      <c r="AM14" s="4"/>
      <c r="AN14" s="1">
        <v>4880</v>
      </c>
      <c r="AO14" s="41" t="s">
        <v>102</v>
      </c>
      <c r="AP14" s="43">
        <v>1</v>
      </c>
      <c r="AQ14" s="44">
        <v>696</v>
      </c>
      <c r="AR14" s="28"/>
      <c r="AS14" s="28"/>
    </row>
    <row r="15" s="1" customFormat="1" spans="1:45">
      <c r="A15" s="1" t="s">
        <v>152</v>
      </c>
      <c r="B15" s="1" t="s">
        <v>153</v>
      </c>
      <c r="C15" s="1">
        <v>12</v>
      </c>
      <c r="D15" s="4">
        <v>4</v>
      </c>
      <c r="E15" s="4"/>
      <c r="F15" s="4"/>
      <c r="G15" s="4"/>
      <c r="H15" s="4"/>
      <c r="I15" s="4"/>
      <c r="J15" s="4">
        <v>7</v>
      </c>
      <c r="K15" s="4"/>
      <c r="L15" s="4"/>
      <c r="M15" s="4"/>
      <c r="N15" s="4"/>
      <c r="O15" s="4"/>
      <c r="P15" s="4"/>
      <c r="Q15" s="4"/>
      <c r="R15" s="4"/>
      <c r="S15" s="4">
        <v>1</v>
      </c>
      <c r="T15" s="4"/>
      <c r="U15" s="4"/>
      <c r="V15" s="4"/>
      <c r="W15" s="45">
        <v>4</v>
      </c>
      <c r="X15" s="4"/>
      <c r="Y15" s="4"/>
      <c r="Z15" s="45">
        <v>4</v>
      </c>
      <c r="AA15" s="4"/>
      <c r="AB15" s="4"/>
      <c r="AC15" s="4"/>
      <c r="AD15" s="4"/>
      <c r="AE15" s="4"/>
      <c r="AF15" s="4"/>
      <c r="AG15" s="4">
        <v>4</v>
      </c>
      <c r="AH15" s="4">
        <v>4</v>
      </c>
      <c r="AI15" s="4"/>
      <c r="AJ15" s="4"/>
      <c r="AK15" s="4"/>
      <c r="AL15" s="4"/>
      <c r="AM15" s="4"/>
      <c r="AN15" s="1">
        <v>4880</v>
      </c>
      <c r="AO15" s="41" t="s">
        <v>102</v>
      </c>
      <c r="AP15" s="41">
        <v>4</v>
      </c>
      <c r="AQ15" s="44">
        <v>696</v>
      </c>
      <c r="AR15" s="28"/>
      <c r="AS15" s="28"/>
    </row>
    <row r="16" s="1" customFormat="1" spans="1:45">
      <c r="A16" s="1" t="s">
        <v>154</v>
      </c>
      <c r="B16" s="1" t="s">
        <v>153</v>
      </c>
      <c r="C16" s="1">
        <v>12</v>
      </c>
      <c r="D16" s="4">
        <v>4</v>
      </c>
      <c r="E16" s="4"/>
      <c r="F16" s="4"/>
      <c r="G16" s="4"/>
      <c r="H16" s="4"/>
      <c r="I16" s="4"/>
      <c r="J16" s="4">
        <v>7</v>
      </c>
      <c r="K16" s="4"/>
      <c r="L16" s="4"/>
      <c r="M16" s="4"/>
      <c r="N16" s="4"/>
      <c r="O16" s="4"/>
      <c r="P16" s="4"/>
      <c r="Q16" s="4"/>
      <c r="R16" s="4"/>
      <c r="S16" s="4">
        <v>1</v>
      </c>
      <c r="T16" s="4"/>
      <c r="U16" s="4"/>
      <c r="V16" s="4"/>
      <c r="W16" s="4">
        <v>4</v>
      </c>
      <c r="X16" s="4"/>
      <c r="Y16" s="4"/>
      <c r="Z16" s="4">
        <v>4</v>
      </c>
      <c r="AA16" s="4"/>
      <c r="AB16" s="4"/>
      <c r="AC16" s="4"/>
      <c r="AD16" s="4"/>
      <c r="AE16" s="4"/>
      <c r="AF16" s="4"/>
      <c r="AG16" s="4">
        <v>4</v>
      </c>
      <c r="AH16" s="4">
        <v>4</v>
      </c>
      <c r="AI16" s="4"/>
      <c r="AJ16" s="4"/>
      <c r="AK16" s="4"/>
      <c r="AL16" s="4"/>
      <c r="AM16" s="4"/>
      <c r="AN16" s="1">
        <v>1265</v>
      </c>
      <c r="AO16" s="41" t="s">
        <v>102</v>
      </c>
      <c r="AP16" s="41">
        <v>4</v>
      </c>
      <c r="AQ16" s="44">
        <v>1100</v>
      </c>
      <c r="AR16" s="28"/>
      <c r="AS16" s="28"/>
    </row>
    <row r="17" s="1" customFormat="1" spans="1:45">
      <c r="A17" s="1" t="s">
        <v>155</v>
      </c>
      <c r="B17" s="1" t="s">
        <v>153</v>
      </c>
      <c r="C17" s="1">
        <v>12</v>
      </c>
      <c r="D17" s="4">
        <v>4</v>
      </c>
      <c r="E17" s="4"/>
      <c r="F17" s="4"/>
      <c r="G17" s="4"/>
      <c r="H17" s="4"/>
      <c r="I17" s="4"/>
      <c r="J17" s="4">
        <v>7</v>
      </c>
      <c r="K17" s="4"/>
      <c r="L17" s="4"/>
      <c r="M17" s="4"/>
      <c r="N17" s="4"/>
      <c r="O17" s="4"/>
      <c r="P17" s="4"/>
      <c r="Q17" s="4"/>
      <c r="R17" s="4"/>
      <c r="S17" s="4">
        <v>1</v>
      </c>
      <c r="T17" s="4"/>
      <c r="U17" s="4"/>
      <c r="V17" s="4"/>
      <c r="W17" s="4">
        <v>4</v>
      </c>
      <c r="X17" s="4"/>
      <c r="Y17" s="4"/>
      <c r="Z17" s="4">
        <v>4</v>
      </c>
      <c r="AA17" s="4"/>
      <c r="AB17" s="4"/>
      <c r="AC17" s="4"/>
      <c r="AD17" s="4"/>
      <c r="AE17" s="4"/>
      <c r="AF17" s="4"/>
      <c r="AG17" s="4">
        <v>4</v>
      </c>
      <c r="AH17" s="4">
        <v>4</v>
      </c>
      <c r="AI17" s="4"/>
      <c r="AJ17" s="4"/>
      <c r="AK17" s="4"/>
      <c r="AL17" s="4"/>
      <c r="AM17" s="4"/>
      <c r="AN17" s="1">
        <v>1265</v>
      </c>
      <c r="AO17" s="41" t="s">
        <v>102</v>
      </c>
      <c r="AP17" s="41">
        <v>4</v>
      </c>
      <c r="AQ17" s="44">
        <v>1100</v>
      </c>
      <c r="AR17" s="28"/>
      <c r="AS17" s="28"/>
    </row>
    <row r="18" s="1" customFormat="1" spans="1:45">
      <c r="A18" s="1" t="s">
        <v>156</v>
      </c>
      <c r="B18" s="1" t="s">
        <v>153</v>
      </c>
      <c r="C18" s="1">
        <v>12</v>
      </c>
      <c r="D18" s="4">
        <v>4</v>
      </c>
      <c r="E18" s="4"/>
      <c r="F18" s="4"/>
      <c r="G18" s="4"/>
      <c r="H18" s="4"/>
      <c r="I18" s="4"/>
      <c r="J18" s="4">
        <v>7</v>
      </c>
      <c r="K18" s="4"/>
      <c r="L18" s="4"/>
      <c r="M18" s="4"/>
      <c r="N18" s="4"/>
      <c r="O18" s="4"/>
      <c r="P18" s="4"/>
      <c r="Q18" s="4"/>
      <c r="R18" s="4"/>
      <c r="S18" s="4">
        <v>1</v>
      </c>
      <c r="T18" s="4"/>
      <c r="U18" s="4"/>
      <c r="V18" s="4"/>
      <c r="W18" s="4">
        <v>4</v>
      </c>
      <c r="X18" s="4"/>
      <c r="Y18" s="4"/>
      <c r="Z18" s="4">
        <v>4</v>
      </c>
      <c r="AA18" s="4"/>
      <c r="AB18" s="4"/>
      <c r="AC18" s="4"/>
      <c r="AD18" s="4"/>
      <c r="AE18" s="4"/>
      <c r="AF18" s="4"/>
      <c r="AG18" s="4">
        <v>4</v>
      </c>
      <c r="AH18" s="4">
        <v>4</v>
      </c>
      <c r="AI18" s="4"/>
      <c r="AJ18" s="4"/>
      <c r="AK18" s="4"/>
      <c r="AL18" s="4"/>
      <c r="AM18" s="4"/>
      <c r="AN18" s="1">
        <v>1265</v>
      </c>
      <c r="AO18" s="41" t="s">
        <v>102</v>
      </c>
      <c r="AP18" s="41">
        <v>4</v>
      </c>
      <c r="AQ18" s="44">
        <v>1100</v>
      </c>
      <c r="AR18" s="28"/>
      <c r="AS18" s="28"/>
    </row>
    <row r="19" s="1" customFormat="1" spans="1:45">
      <c r="A19" s="1" t="s">
        <v>157</v>
      </c>
      <c r="B19" s="1" t="s">
        <v>153</v>
      </c>
      <c r="C19" s="1">
        <v>12</v>
      </c>
      <c r="D19" s="4">
        <v>4</v>
      </c>
      <c r="E19" s="4"/>
      <c r="F19" s="4"/>
      <c r="G19" s="4"/>
      <c r="H19" s="4"/>
      <c r="I19" s="4"/>
      <c r="J19" s="4">
        <v>7</v>
      </c>
      <c r="K19" s="4"/>
      <c r="L19" s="4"/>
      <c r="M19" s="4"/>
      <c r="N19" s="4"/>
      <c r="O19" s="4"/>
      <c r="P19" s="4"/>
      <c r="Q19" s="4"/>
      <c r="R19" s="4"/>
      <c r="S19" s="4">
        <v>1</v>
      </c>
      <c r="T19" s="4"/>
      <c r="U19" s="4"/>
      <c r="V19" s="4"/>
      <c r="W19" s="4">
        <v>4</v>
      </c>
      <c r="X19" s="4"/>
      <c r="Y19" s="4"/>
      <c r="Z19" s="4">
        <v>4</v>
      </c>
      <c r="AA19" s="4"/>
      <c r="AB19" s="4"/>
      <c r="AC19" s="4"/>
      <c r="AD19" s="4"/>
      <c r="AE19" s="4"/>
      <c r="AF19" s="4"/>
      <c r="AG19" s="4">
        <v>4</v>
      </c>
      <c r="AH19" s="4">
        <v>8</v>
      </c>
      <c r="AI19" s="4"/>
      <c r="AJ19" s="4"/>
      <c r="AK19" s="4"/>
      <c r="AL19" s="4"/>
      <c r="AM19" s="4"/>
      <c r="AN19" s="1">
        <v>4880</v>
      </c>
      <c r="AO19" s="41" t="s">
        <v>102</v>
      </c>
      <c r="AP19" s="41">
        <v>4</v>
      </c>
      <c r="AQ19" s="44">
        <v>408</v>
      </c>
      <c r="AR19" s="28"/>
      <c r="AS19" s="28"/>
    </row>
    <row r="20" s="1" customFormat="1" spans="1:45">
      <c r="A20" s="1" t="s">
        <v>158</v>
      </c>
      <c r="B20" s="1" t="s">
        <v>159</v>
      </c>
      <c r="C20" s="1">
        <v>9</v>
      </c>
      <c r="D20" s="4"/>
      <c r="E20" s="4">
        <v>3</v>
      </c>
      <c r="F20" s="4"/>
      <c r="G20" s="4"/>
      <c r="H20" s="4"/>
      <c r="I20" s="4"/>
      <c r="J20" s="4">
        <v>3</v>
      </c>
      <c r="K20" s="4"/>
      <c r="L20" s="4"/>
      <c r="M20" s="4"/>
      <c r="N20" s="4"/>
      <c r="O20" s="4"/>
      <c r="P20" s="4"/>
      <c r="Q20" s="4"/>
      <c r="R20" s="4"/>
      <c r="S20" s="4">
        <v>3</v>
      </c>
      <c r="T20" s="4"/>
      <c r="U20" s="4"/>
      <c r="V20" s="4"/>
      <c r="W20" s="4">
        <v>3</v>
      </c>
      <c r="X20" s="4"/>
      <c r="Y20" s="4"/>
      <c r="Z20" s="4">
        <v>3</v>
      </c>
      <c r="AA20" s="4"/>
      <c r="AB20" s="4"/>
      <c r="AC20" s="4"/>
      <c r="AD20" s="4"/>
      <c r="AE20" s="4"/>
      <c r="AF20" s="4"/>
      <c r="AG20" s="4">
        <v>4</v>
      </c>
      <c r="AH20" s="4">
        <v>8</v>
      </c>
      <c r="AI20" s="4"/>
      <c r="AJ20" s="4"/>
      <c r="AK20" s="4"/>
      <c r="AL20" s="4"/>
      <c r="AM20" s="4"/>
      <c r="AN20" s="1">
        <v>4880</v>
      </c>
      <c r="AO20" s="41" t="s">
        <v>102</v>
      </c>
      <c r="AP20" s="41">
        <v>3</v>
      </c>
      <c r="AQ20" s="44">
        <v>408</v>
      </c>
      <c r="AR20" s="28" t="s">
        <v>102</v>
      </c>
      <c r="AS20" s="28">
        <v>1</v>
      </c>
    </row>
    <row r="21" s="1" customFormat="1" spans="1:45">
      <c r="A21" s="1" t="s">
        <v>160</v>
      </c>
      <c r="B21" s="1" t="s">
        <v>159</v>
      </c>
      <c r="C21" s="1">
        <v>9</v>
      </c>
      <c r="D21" s="4"/>
      <c r="E21" s="4">
        <v>3</v>
      </c>
      <c r="F21" s="4"/>
      <c r="G21" s="4"/>
      <c r="H21" s="4"/>
      <c r="I21" s="4"/>
      <c r="J21" s="4">
        <v>3</v>
      </c>
      <c r="K21" s="4"/>
      <c r="L21" s="4"/>
      <c r="M21" s="4"/>
      <c r="N21" s="4"/>
      <c r="O21" s="4"/>
      <c r="P21" s="4"/>
      <c r="Q21" s="4"/>
      <c r="R21" s="4"/>
      <c r="S21" s="4">
        <v>3</v>
      </c>
      <c r="T21" s="4"/>
      <c r="U21" s="4"/>
      <c r="V21" s="4"/>
      <c r="W21" s="4">
        <v>3</v>
      </c>
      <c r="X21" s="4"/>
      <c r="Y21" s="4"/>
      <c r="Z21" s="4">
        <v>3</v>
      </c>
      <c r="AA21" s="4"/>
      <c r="AB21" s="4"/>
      <c r="AC21" s="4"/>
      <c r="AD21" s="4"/>
      <c r="AE21" s="4"/>
      <c r="AF21" s="4"/>
      <c r="AG21" s="4">
        <v>4</v>
      </c>
      <c r="AH21" s="4">
        <v>8</v>
      </c>
      <c r="AI21" s="4"/>
      <c r="AJ21" s="4"/>
      <c r="AK21" s="4"/>
      <c r="AL21" s="4"/>
      <c r="AM21" s="4"/>
      <c r="AN21" s="1">
        <v>4880</v>
      </c>
      <c r="AO21" s="41" t="s">
        <v>102</v>
      </c>
      <c r="AP21" s="41">
        <v>3</v>
      </c>
      <c r="AQ21" s="44">
        <v>696</v>
      </c>
      <c r="AR21" s="28"/>
      <c r="AS21" s="28"/>
    </row>
    <row r="22" s="1" customFormat="1" spans="1:45">
      <c r="A22" s="1" t="s">
        <v>161</v>
      </c>
      <c r="B22" s="1" t="s">
        <v>162</v>
      </c>
      <c r="C22" s="1">
        <v>6</v>
      </c>
      <c r="D22" s="4">
        <v>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>
        <v>2</v>
      </c>
      <c r="Q22" s="4"/>
      <c r="R22" s="4"/>
      <c r="S22" s="4"/>
      <c r="T22" s="4"/>
      <c r="U22" s="4">
        <v>2</v>
      </c>
      <c r="V22" s="4"/>
      <c r="W22" s="4">
        <v>2</v>
      </c>
      <c r="X22" s="4"/>
      <c r="Y22" s="4">
        <v>2</v>
      </c>
      <c r="Z22" s="4"/>
      <c r="AA22" s="4"/>
      <c r="AB22" s="4"/>
      <c r="AC22" s="4"/>
      <c r="AD22" s="4"/>
      <c r="AE22" s="4"/>
      <c r="AF22" s="4"/>
      <c r="AG22" s="4">
        <v>4</v>
      </c>
      <c r="AH22" s="4">
        <v>8</v>
      </c>
      <c r="AI22" s="4"/>
      <c r="AJ22" s="4"/>
      <c r="AK22" s="4"/>
      <c r="AL22" s="4"/>
      <c r="AM22" s="4"/>
      <c r="AN22" s="1">
        <v>4880</v>
      </c>
      <c r="AO22" s="41" t="s">
        <v>102</v>
      </c>
      <c r="AP22" s="41">
        <v>2</v>
      </c>
      <c r="AQ22" s="44">
        <v>696</v>
      </c>
      <c r="AR22" s="28"/>
      <c r="AS22" s="28"/>
    </row>
    <row r="23" s="1" customFormat="1" spans="1:45">
      <c r="A23" s="1" t="s">
        <v>163</v>
      </c>
      <c r="B23" s="1" t="s">
        <v>164</v>
      </c>
      <c r="C23" s="1">
        <v>3</v>
      </c>
      <c r="D23" s="4"/>
      <c r="E23" s="4"/>
      <c r="F23" s="4"/>
      <c r="G23" s="4">
        <v>1</v>
      </c>
      <c r="H23" s="4"/>
      <c r="I23" s="4"/>
      <c r="J23" s="4"/>
      <c r="K23" s="4"/>
      <c r="L23" s="4"/>
      <c r="M23" s="4"/>
      <c r="N23" s="4"/>
      <c r="O23" s="4"/>
      <c r="P23" s="4">
        <v>1</v>
      </c>
      <c r="Q23" s="4"/>
      <c r="R23" s="4"/>
      <c r="S23" s="4"/>
      <c r="T23" s="4"/>
      <c r="U23" s="4">
        <v>1</v>
      </c>
      <c r="V23" s="4"/>
      <c r="W23" s="4">
        <v>1</v>
      </c>
      <c r="X23" s="4"/>
      <c r="Y23" s="4">
        <v>1</v>
      </c>
      <c r="Z23" s="4"/>
      <c r="AA23" s="4"/>
      <c r="AB23" s="4"/>
      <c r="AC23" s="4"/>
      <c r="AD23" s="4"/>
      <c r="AE23" s="4"/>
      <c r="AF23" s="4"/>
      <c r="AG23" s="4">
        <v>4</v>
      </c>
      <c r="AH23" s="4">
        <v>8</v>
      </c>
      <c r="AI23" s="4"/>
      <c r="AJ23" s="4"/>
      <c r="AK23" s="4"/>
      <c r="AL23" s="4"/>
      <c r="AM23" s="4"/>
      <c r="AN23" s="1">
        <v>571</v>
      </c>
      <c r="AO23" s="41" t="s">
        <v>102</v>
      </c>
      <c r="AP23" s="41">
        <v>1</v>
      </c>
      <c r="AQ23" s="44">
        <v>702</v>
      </c>
      <c r="AR23" s="28"/>
      <c r="AS23" s="28"/>
    </row>
    <row r="24" s="1" customFormat="1" spans="1:45">
      <c r="A24" s="1" t="s">
        <v>165</v>
      </c>
      <c r="B24" s="1" t="s">
        <v>164</v>
      </c>
      <c r="C24" s="1">
        <v>3</v>
      </c>
      <c r="D24" s="4"/>
      <c r="E24" s="4"/>
      <c r="F24" s="4"/>
      <c r="G24" s="4">
        <v>1</v>
      </c>
      <c r="H24" s="4"/>
      <c r="I24" s="4"/>
      <c r="J24" s="4"/>
      <c r="K24" s="4"/>
      <c r="L24" s="4"/>
      <c r="M24" s="4"/>
      <c r="N24" s="4"/>
      <c r="O24" s="4"/>
      <c r="P24" s="4">
        <v>1</v>
      </c>
      <c r="Q24" s="4"/>
      <c r="R24" s="4"/>
      <c r="S24" s="4"/>
      <c r="T24" s="4"/>
      <c r="U24" s="4">
        <v>1</v>
      </c>
      <c r="V24" s="4"/>
      <c r="W24" s="4">
        <v>1</v>
      </c>
      <c r="X24" s="4"/>
      <c r="Y24" s="4">
        <v>1</v>
      </c>
      <c r="Z24" s="4"/>
      <c r="AA24" s="4"/>
      <c r="AB24" s="4"/>
      <c r="AC24" s="4"/>
      <c r="AD24" s="4"/>
      <c r="AE24" s="4"/>
      <c r="AF24" s="4"/>
      <c r="AG24" s="4">
        <v>4</v>
      </c>
      <c r="AH24" s="4">
        <v>8</v>
      </c>
      <c r="AI24" s="4"/>
      <c r="AJ24" s="4"/>
      <c r="AK24" s="4"/>
      <c r="AL24" s="4"/>
      <c r="AM24" s="4"/>
      <c r="AN24" s="1">
        <v>571</v>
      </c>
      <c r="AO24" s="41" t="s">
        <v>102</v>
      </c>
      <c r="AP24" s="41">
        <v>1</v>
      </c>
      <c r="AQ24" s="44">
        <v>702</v>
      </c>
      <c r="AR24" s="28" t="s">
        <v>103</v>
      </c>
      <c r="AS24" s="28">
        <v>1</v>
      </c>
    </row>
    <row r="25" s="1" customFormat="1" spans="1:45">
      <c r="A25" s="8" t="s">
        <v>166</v>
      </c>
      <c r="B25" s="1" t="s">
        <v>159</v>
      </c>
      <c r="C25" s="1">
        <v>9</v>
      </c>
      <c r="D25" s="4"/>
      <c r="E25" s="4">
        <v>3</v>
      </c>
      <c r="F25" s="4"/>
      <c r="G25" s="4"/>
      <c r="H25" s="4"/>
      <c r="I25" s="4"/>
      <c r="J25" s="4">
        <v>3</v>
      </c>
      <c r="K25" s="4"/>
      <c r="L25" s="4"/>
      <c r="M25" s="4"/>
      <c r="N25" s="4"/>
      <c r="O25" s="4"/>
      <c r="P25" s="4"/>
      <c r="Q25" s="4"/>
      <c r="R25" s="4"/>
      <c r="S25" s="4">
        <v>3</v>
      </c>
      <c r="T25" s="4"/>
      <c r="U25" s="4"/>
      <c r="V25" s="4"/>
      <c r="W25" s="4">
        <v>3</v>
      </c>
      <c r="X25" s="4"/>
      <c r="Y25" s="4"/>
      <c r="Z25" s="4">
        <v>3</v>
      </c>
      <c r="AA25" s="4"/>
      <c r="AB25" s="4"/>
      <c r="AC25" s="4"/>
      <c r="AD25" s="4"/>
      <c r="AE25" s="4"/>
      <c r="AF25" s="4"/>
      <c r="AG25" s="4">
        <v>4</v>
      </c>
      <c r="AH25" s="4">
        <v>8</v>
      </c>
      <c r="AI25" s="4"/>
      <c r="AJ25" s="4"/>
      <c r="AK25" s="4"/>
      <c r="AL25" s="4"/>
      <c r="AM25" s="4"/>
      <c r="AN25" s="1">
        <v>3008</v>
      </c>
      <c r="AO25" s="41" t="s">
        <v>102</v>
      </c>
      <c r="AP25" s="43">
        <v>3</v>
      </c>
      <c r="AQ25" s="44">
        <v>858</v>
      </c>
      <c r="AR25" s="28"/>
      <c r="AS25" s="28"/>
    </row>
    <row r="26" s="1" customFormat="1" spans="1:45">
      <c r="A26" s="1" t="s">
        <v>167</v>
      </c>
      <c r="B26" s="1" t="s">
        <v>168</v>
      </c>
      <c r="C26" s="1">
        <v>12</v>
      </c>
      <c r="D26" s="4">
        <v>4</v>
      </c>
      <c r="E26" s="4"/>
      <c r="F26" s="4"/>
      <c r="G26" s="4"/>
      <c r="H26" s="4"/>
      <c r="I26" s="4"/>
      <c r="J26" s="4">
        <v>7</v>
      </c>
      <c r="K26" s="4"/>
      <c r="L26" s="4"/>
      <c r="M26" s="4"/>
      <c r="N26" s="4"/>
      <c r="O26" s="4"/>
      <c r="P26" s="4"/>
      <c r="Q26" s="4"/>
      <c r="R26" s="4"/>
      <c r="S26" s="4">
        <v>1</v>
      </c>
      <c r="T26" s="4"/>
      <c r="U26" s="4"/>
      <c r="V26" s="4"/>
      <c r="W26" s="4">
        <v>4</v>
      </c>
      <c r="X26" s="4"/>
      <c r="Y26" s="4"/>
      <c r="Z26" s="4">
        <v>4</v>
      </c>
      <c r="AA26" s="4"/>
      <c r="AB26" s="4"/>
      <c r="AC26" s="4"/>
      <c r="AD26" s="4"/>
      <c r="AE26" s="4"/>
      <c r="AF26" s="4"/>
      <c r="AG26" s="4">
        <v>4</v>
      </c>
      <c r="AH26" s="4">
        <v>8</v>
      </c>
      <c r="AI26" s="4"/>
      <c r="AJ26" s="4"/>
      <c r="AK26" s="4"/>
      <c r="AL26" s="4"/>
      <c r="AM26" s="4"/>
      <c r="AN26" s="1"/>
      <c r="AO26" s="41" t="s">
        <v>102</v>
      </c>
      <c r="AP26" s="41">
        <v>4</v>
      </c>
      <c r="AQ26" s="1"/>
      <c r="AR26" s="28" t="s">
        <v>102</v>
      </c>
      <c r="AS26" s="28">
        <v>1</v>
      </c>
    </row>
    <row r="27" s="1" customFormat="1" spans="1:45">
      <c r="A27" s="1" t="s">
        <v>169</v>
      </c>
      <c r="B27" s="1" t="s">
        <v>168</v>
      </c>
      <c r="C27" s="1">
        <v>12</v>
      </c>
      <c r="D27" s="4">
        <v>4</v>
      </c>
      <c r="E27" s="4"/>
      <c r="F27" s="4"/>
      <c r="G27" s="4"/>
      <c r="H27" s="4"/>
      <c r="I27" s="4"/>
      <c r="J27" s="4">
        <v>7</v>
      </c>
      <c r="K27" s="4"/>
      <c r="L27" s="4"/>
      <c r="M27" s="4"/>
      <c r="N27" s="4"/>
      <c r="O27" s="4"/>
      <c r="P27" s="4"/>
      <c r="Q27" s="4"/>
      <c r="R27" s="4"/>
      <c r="S27" s="4">
        <v>1</v>
      </c>
      <c r="T27" s="4"/>
      <c r="U27" s="4"/>
      <c r="V27" s="4"/>
      <c r="W27" s="4">
        <v>4</v>
      </c>
      <c r="X27" s="4"/>
      <c r="Y27" s="4"/>
      <c r="Z27" s="4">
        <v>4</v>
      </c>
      <c r="AA27" s="4"/>
      <c r="AB27" s="4"/>
      <c r="AC27" s="4"/>
      <c r="AD27" s="4"/>
      <c r="AE27" s="4"/>
      <c r="AF27" s="4"/>
      <c r="AG27" s="4">
        <v>4</v>
      </c>
      <c r="AH27" s="4">
        <v>8</v>
      </c>
      <c r="AI27" s="4"/>
      <c r="AJ27" s="4"/>
      <c r="AK27" s="4"/>
      <c r="AL27" s="4"/>
      <c r="AM27" s="4"/>
      <c r="AN27" s="1"/>
      <c r="AO27" s="41" t="s">
        <v>102</v>
      </c>
      <c r="AP27" s="41">
        <v>4</v>
      </c>
      <c r="AQ27" s="1"/>
      <c r="AR27" s="28"/>
      <c r="AS27" s="28"/>
    </row>
    <row r="28" s="1" customFormat="1" spans="1:45">
      <c r="A28" s="1" t="s">
        <v>170</v>
      </c>
      <c r="B28" s="1" t="s">
        <v>168</v>
      </c>
      <c r="C28" s="1">
        <v>12</v>
      </c>
      <c r="D28" s="4">
        <v>4</v>
      </c>
      <c r="E28" s="4"/>
      <c r="F28" s="4"/>
      <c r="G28" s="4"/>
      <c r="H28" s="4"/>
      <c r="I28" s="4"/>
      <c r="J28" s="4">
        <v>7</v>
      </c>
      <c r="K28" s="4"/>
      <c r="L28" s="4"/>
      <c r="M28" s="4"/>
      <c r="N28" s="4"/>
      <c r="O28" s="4"/>
      <c r="P28" s="4"/>
      <c r="Q28" s="4"/>
      <c r="R28" s="4"/>
      <c r="S28" s="4">
        <v>1</v>
      </c>
      <c r="T28" s="4"/>
      <c r="U28" s="4"/>
      <c r="V28" s="4"/>
      <c r="W28" s="4">
        <v>4</v>
      </c>
      <c r="X28" s="4"/>
      <c r="Y28" s="4"/>
      <c r="Z28" s="4">
        <v>4</v>
      </c>
      <c r="AA28" s="4"/>
      <c r="AB28" s="4"/>
      <c r="AC28" s="4"/>
      <c r="AD28" s="4"/>
      <c r="AE28" s="4"/>
      <c r="AF28" s="4"/>
      <c r="AG28" s="4">
        <v>4</v>
      </c>
      <c r="AH28" s="4">
        <v>8</v>
      </c>
      <c r="AI28" s="4"/>
      <c r="AJ28" s="4"/>
      <c r="AK28" s="4"/>
      <c r="AL28" s="4"/>
      <c r="AM28" s="4"/>
      <c r="AN28" s="1"/>
      <c r="AO28" s="41" t="s">
        <v>102</v>
      </c>
      <c r="AP28" s="41">
        <v>4</v>
      </c>
      <c r="AQ28" s="1"/>
      <c r="AR28" s="28"/>
      <c r="AS28" s="28"/>
    </row>
    <row r="29" s="1" customFormat="1" spans="1:45">
      <c r="A29" s="1" t="s">
        <v>171</v>
      </c>
      <c r="B29" s="1" t="s">
        <v>172</v>
      </c>
      <c r="C29" s="1">
        <v>8</v>
      </c>
      <c r="D29" s="4"/>
      <c r="E29" s="4"/>
      <c r="F29" s="4"/>
      <c r="G29" s="4"/>
      <c r="H29" s="4"/>
      <c r="I29" s="4"/>
      <c r="J29" s="4">
        <v>3</v>
      </c>
      <c r="K29" s="4"/>
      <c r="L29" s="4"/>
      <c r="M29" s="4"/>
      <c r="N29" s="4"/>
      <c r="O29" s="4"/>
      <c r="P29" s="4"/>
      <c r="Q29" s="4">
        <v>2</v>
      </c>
      <c r="R29" s="4"/>
      <c r="S29" s="4">
        <v>1</v>
      </c>
      <c r="T29" s="4"/>
      <c r="U29" s="4">
        <v>2</v>
      </c>
      <c r="V29" s="4"/>
      <c r="W29" s="4">
        <v>2</v>
      </c>
      <c r="X29" s="4"/>
      <c r="Y29" s="4"/>
      <c r="Z29" s="4">
        <v>2</v>
      </c>
      <c r="AA29" s="4"/>
      <c r="AB29" s="4"/>
      <c r="AC29" s="4"/>
      <c r="AD29" s="4"/>
      <c r="AE29" s="4"/>
      <c r="AF29" s="4">
        <v>2</v>
      </c>
      <c r="AG29" s="4">
        <v>4</v>
      </c>
      <c r="AH29" s="4">
        <v>8</v>
      </c>
      <c r="AI29" s="4"/>
      <c r="AJ29" s="4"/>
      <c r="AK29" s="4"/>
      <c r="AL29" s="4"/>
      <c r="AM29" s="4"/>
      <c r="AN29" s="1"/>
      <c r="AO29" s="41" t="s">
        <v>102</v>
      </c>
      <c r="AP29" s="41">
        <v>2</v>
      </c>
      <c r="AQ29" s="1"/>
      <c r="AR29" s="28"/>
      <c r="AS29" s="28"/>
    </row>
    <row r="30" s="1" customFormat="1" spans="1:45">
      <c r="A30" s="1" t="s">
        <v>173</v>
      </c>
      <c r="B30" s="1" t="s">
        <v>172</v>
      </c>
      <c r="C30" s="1">
        <v>8</v>
      </c>
      <c r="D30" s="4"/>
      <c r="E30" s="4"/>
      <c r="F30" s="4"/>
      <c r="G30" s="4"/>
      <c r="H30" s="4"/>
      <c r="I30" s="4"/>
      <c r="J30" s="4">
        <v>3</v>
      </c>
      <c r="K30" s="4"/>
      <c r="L30" s="4"/>
      <c r="M30" s="4"/>
      <c r="N30" s="4"/>
      <c r="O30" s="4"/>
      <c r="P30" s="4"/>
      <c r="Q30" s="4">
        <v>2</v>
      </c>
      <c r="R30" s="4"/>
      <c r="S30" s="4">
        <v>1</v>
      </c>
      <c r="T30" s="4"/>
      <c r="U30" s="4">
        <v>2</v>
      </c>
      <c r="V30" s="4"/>
      <c r="W30" s="4">
        <v>2</v>
      </c>
      <c r="X30" s="4"/>
      <c r="Y30" s="4"/>
      <c r="Z30" s="4">
        <v>2</v>
      </c>
      <c r="AA30" s="4"/>
      <c r="AB30" s="4"/>
      <c r="AC30" s="4"/>
      <c r="AD30" s="4"/>
      <c r="AE30" s="4"/>
      <c r="AF30" s="4">
        <v>2</v>
      </c>
      <c r="AG30" s="4">
        <v>4</v>
      </c>
      <c r="AH30" s="4">
        <v>8</v>
      </c>
      <c r="AI30" s="4"/>
      <c r="AJ30" s="4"/>
      <c r="AK30" s="4"/>
      <c r="AL30" s="4"/>
      <c r="AM30" s="4"/>
      <c r="AN30" s="1"/>
      <c r="AO30" s="41" t="s">
        <v>102</v>
      </c>
      <c r="AP30" s="41">
        <v>2</v>
      </c>
      <c r="AQ30" s="1"/>
      <c r="AR30" s="28" t="s">
        <v>102</v>
      </c>
      <c r="AS30" s="28">
        <v>1</v>
      </c>
    </row>
    <row r="31" s="1" customFormat="1" spans="1:45">
      <c r="A31" s="1" t="s">
        <v>174</v>
      </c>
      <c r="B31" s="1" t="s">
        <v>175</v>
      </c>
      <c r="C31" s="1">
        <v>12</v>
      </c>
      <c r="D31" s="4"/>
      <c r="E31" s="4"/>
      <c r="F31" s="4"/>
      <c r="G31" s="4"/>
      <c r="H31" s="4"/>
      <c r="I31" s="4"/>
      <c r="J31" s="4">
        <v>3</v>
      </c>
      <c r="K31" s="4"/>
      <c r="L31" s="4"/>
      <c r="M31" s="4"/>
      <c r="N31" s="4"/>
      <c r="O31" s="4"/>
      <c r="P31" s="4">
        <v>3</v>
      </c>
      <c r="Q31" s="4"/>
      <c r="R31" s="4"/>
      <c r="S31" s="4">
        <v>3</v>
      </c>
      <c r="T31" s="4"/>
      <c r="U31" s="4">
        <v>3</v>
      </c>
      <c r="V31" s="4"/>
      <c r="W31" s="4">
        <v>3</v>
      </c>
      <c r="X31" s="4"/>
      <c r="Y31" s="4"/>
      <c r="Z31" s="4">
        <v>3</v>
      </c>
      <c r="AA31" s="4"/>
      <c r="AB31" s="4"/>
      <c r="AC31" s="4"/>
      <c r="AD31" s="4"/>
      <c r="AE31" s="4"/>
      <c r="AF31" s="4">
        <v>3</v>
      </c>
      <c r="AG31" s="4">
        <v>4</v>
      </c>
      <c r="AH31" s="4">
        <v>8</v>
      </c>
      <c r="AI31" s="4"/>
      <c r="AJ31" s="4"/>
      <c r="AK31" s="4"/>
      <c r="AL31" s="4"/>
      <c r="AM31" s="4"/>
      <c r="AN31" s="1"/>
      <c r="AO31" s="41" t="s">
        <v>102</v>
      </c>
      <c r="AP31" s="41">
        <v>3</v>
      </c>
      <c r="AQ31" s="1"/>
      <c r="AR31" s="28"/>
      <c r="AS31" s="28"/>
    </row>
    <row r="32" s="1" customFormat="1" spans="1:45">
      <c r="A32" s="1" t="s">
        <v>176</v>
      </c>
      <c r="B32" s="1" t="s">
        <v>175</v>
      </c>
      <c r="C32" s="1">
        <v>12</v>
      </c>
      <c r="D32" s="4"/>
      <c r="E32" s="4"/>
      <c r="F32" s="4"/>
      <c r="G32" s="4"/>
      <c r="H32" s="4"/>
      <c r="I32" s="4"/>
      <c r="J32" s="4">
        <v>3</v>
      </c>
      <c r="K32" s="4"/>
      <c r="L32" s="4"/>
      <c r="M32" s="4"/>
      <c r="N32" s="4"/>
      <c r="O32" s="4"/>
      <c r="P32" s="4">
        <v>3</v>
      </c>
      <c r="Q32" s="4"/>
      <c r="R32" s="4"/>
      <c r="S32" s="4">
        <v>3</v>
      </c>
      <c r="T32" s="4"/>
      <c r="U32" s="4">
        <v>3</v>
      </c>
      <c r="V32" s="4"/>
      <c r="W32" s="4">
        <v>3</v>
      </c>
      <c r="X32" s="4"/>
      <c r="Y32" s="4"/>
      <c r="Z32" s="4">
        <v>3</v>
      </c>
      <c r="AA32" s="4"/>
      <c r="AB32" s="4"/>
      <c r="AC32" s="4"/>
      <c r="AD32" s="4"/>
      <c r="AE32" s="4"/>
      <c r="AF32" s="4">
        <v>3</v>
      </c>
      <c r="AG32" s="4">
        <v>4</v>
      </c>
      <c r="AH32" s="4">
        <v>8</v>
      </c>
      <c r="AI32" s="4"/>
      <c r="AJ32" s="4"/>
      <c r="AK32" s="4"/>
      <c r="AL32" s="4"/>
      <c r="AM32" s="4"/>
      <c r="AN32" s="1"/>
      <c r="AO32" s="41" t="s">
        <v>102</v>
      </c>
      <c r="AP32" s="41">
        <v>3</v>
      </c>
      <c r="AQ32" s="1"/>
      <c r="AR32" s="28"/>
      <c r="AS32" s="28"/>
    </row>
    <row r="33" s="1" customFormat="1" spans="1:45">
      <c r="A33" s="1" t="s">
        <v>182</v>
      </c>
      <c r="B33" s="1" t="s">
        <v>183</v>
      </c>
      <c r="C33" s="1">
        <v>8</v>
      </c>
      <c r="N33" s="1">
        <v>2</v>
      </c>
      <c r="O33" s="1">
        <v>4</v>
      </c>
      <c r="S33" s="1">
        <v>2</v>
      </c>
      <c r="W33" s="1">
        <v>2</v>
      </c>
      <c r="Z33" s="1">
        <v>2</v>
      </c>
      <c r="AE33" s="1">
        <v>2</v>
      </c>
      <c r="AG33" s="4">
        <v>4</v>
      </c>
      <c r="AH33" s="4">
        <v>4</v>
      </c>
      <c r="AI33" s="4"/>
      <c r="AJ33" s="4"/>
      <c r="AK33" s="4"/>
      <c r="AL33" s="4"/>
      <c r="AM33" s="4"/>
      <c r="AN33" s="10"/>
      <c r="AO33" s="41" t="s">
        <v>102</v>
      </c>
      <c r="AP33" s="41">
        <v>2</v>
      </c>
      <c r="AQ33" s="10"/>
      <c r="AR33" s="28"/>
      <c r="AS33" s="28"/>
    </row>
    <row r="34" spans="1:45">
      <c r="D34" s="2">
        <f t="shared" ref="D34:AM34" si="0">SUM(D6:D33)</f>
        <v>34</v>
      </c>
      <c r="E34" s="2">
        <f t="shared" si="0"/>
        <v>9</v>
      </c>
      <c r="F34" s="2">
        <f t="shared" si="0"/>
        <v>0</v>
      </c>
      <c r="G34" s="2">
        <f t="shared" si="0"/>
        <v>2</v>
      </c>
      <c r="H34" s="2">
        <f t="shared" si="0"/>
        <v>0</v>
      </c>
      <c r="I34" s="2">
        <f t="shared" si="0"/>
        <v>0</v>
      </c>
      <c r="J34" s="2">
        <f t="shared" si="0"/>
        <v>140</v>
      </c>
      <c r="K34" s="2">
        <f t="shared" si="0"/>
        <v>20</v>
      </c>
      <c r="L34" s="2">
        <f t="shared" si="0"/>
        <v>0</v>
      </c>
      <c r="M34" s="2">
        <f t="shared" si="0"/>
        <v>0</v>
      </c>
      <c r="N34" s="2">
        <f t="shared" si="0"/>
        <v>2</v>
      </c>
      <c r="O34" s="2">
        <f t="shared" si="0"/>
        <v>4</v>
      </c>
      <c r="P34" s="2">
        <f t="shared" si="0"/>
        <v>13</v>
      </c>
      <c r="Q34" s="2">
        <f t="shared" si="0"/>
        <v>6</v>
      </c>
      <c r="R34" s="2">
        <f t="shared" si="0"/>
        <v>0</v>
      </c>
      <c r="S34" s="2">
        <f t="shared" si="0"/>
        <v>28</v>
      </c>
      <c r="T34" s="2">
        <f t="shared" si="0"/>
        <v>0</v>
      </c>
      <c r="U34" s="2">
        <f t="shared" si="0"/>
        <v>19</v>
      </c>
      <c r="V34" s="2">
        <f t="shared" si="0"/>
        <v>0</v>
      </c>
      <c r="W34" s="2">
        <f t="shared" si="0"/>
        <v>84</v>
      </c>
      <c r="X34" s="2">
        <f t="shared" si="0"/>
        <v>0</v>
      </c>
      <c r="Y34" s="2">
        <f t="shared" si="0"/>
        <v>4</v>
      </c>
      <c r="Z34" s="2">
        <f t="shared" si="0"/>
        <v>73</v>
      </c>
      <c r="AA34" s="2">
        <f t="shared" si="0"/>
        <v>0</v>
      </c>
      <c r="AB34" s="2">
        <f t="shared" si="0"/>
        <v>0</v>
      </c>
      <c r="AC34" s="2">
        <f t="shared" si="0"/>
        <v>0</v>
      </c>
      <c r="AD34" s="2">
        <f t="shared" si="0"/>
        <v>0</v>
      </c>
      <c r="AE34" s="2">
        <f t="shared" si="0"/>
        <v>20</v>
      </c>
      <c r="AF34" s="2">
        <f t="shared" si="0"/>
        <v>12</v>
      </c>
      <c r="AG34" s="4">
        <v>4</v>
      </c>
      <c r="AH34" s="4">
        <v>4</v>
      </c>
      <c r="AI34" s="4"/>
      <c r="AJ34" s="4"/>
      <c r="AK34" s="4"/>
      <c r="AL34" s="4"/>
      <c r="AM34" s="4"/>
      <c r="AN34" s="1"/>
      <c r="AP34" s="2">
        <f>SUM(AP6:AP33)</f>
        <v>80</v>
      </c>
      <c r="AQ34" s="1"/>
      <c r="AR34" s="28"/>
      <c r="AS34" s="28"/>
    </row>
    <row r="35" spans="1:45">
      <c r="D35" s="2">
        <v>34</v>
      </c>
      <c r="E35" s="2">
        <v>9</v>
      </c>
      <c r="F35" s="2">
        <v>0</v>
      </c>
      <c r="G35" s="2">
        <v>2</v>
      </c>
      <c r="H35" s="2">
        <v>0</v>
      </c>
      <c r="I35" s="2">
        <v>0</v>
      </c>
      <c r="J35" s="2">
        <v>140</v>
      </c>
      <c r="K35" s="2">
        <v>20</v>
      </c>
      <c r="L35" s="2">
        <v>0</v>
      </c>
      <c r="M35" s="2">
        <v>0</v>
      </c>
      <c r="N35" s="2">
        <v>2</v>
      </c>
      <c r="O35" s="2">
        <v>4</v>
      </c>
      <c r="P35" s="2">
        <v>13</v>
      </c>
      <c r="Q35" s="2">
        <v>6</v>
      </c>
      <c r="R35" s="2">
        <v>0</v>
      </c>
      <c r="S35" s="2">
        <v>28</v>
      </c>
      <c r="T35" s="2">
        <v>0</v>
      </c>
      <c r="U35" s="2">
        <v>19</v>
      </c>
      <c r="V35" s="2">
        <v>0</v>
      </c>
      <c r="W35" s="2">
        <v>84</v>
      </c>
      <c r="X35" s="2">
        <v>0</v>
      </c>
      <c r="Y35" s="2">
        <v>4</v>
      </c>
      <c r="Z35" s="2">
        <v>73</v>
      </c>
      <c r="AA35" s="2">
        <v>0</v>
      </c>
      <c r="AB35" s="2">
        <v>0</v>
      </c>
      <c r="AC35" s="2">
        <v>0</v>
      </c>
      <c r="AD35" s="2">
        <v>0</v>
      </c>
      <c r="AE35" s="2">
        <v>20</v>
      </c>
      <c r="AF35" s="2">
        <v>12</v>
      </c>
      <c r="AG35" s="4">
        <v>4</v>
      </c>
      <c r="AH35" s="4">
        <v>4</v>
      </c>
      <c r="AI35" s="4"/>
      <c r="AJ35" s="4"/>
      <c r="AK35" s="4"/>
      <c r="AL35" s="4"/>
      <c r="AM35" s="4"/>
      <c r="AN35" s="1"/>
      <c r="AQ35" s="1"/>
      <c r="AR35" s="28" t="s">
        <v>102</v>
      </c>
      <c r="AS35" s="28">
        <v>1</v>
      </c>
    </row>
    <row r="36" spans="1:45">
      <c r="A36" s="31" t="s">
        <v>208</v>
      </c>
      <c r="B36" s="32"/>
      <c r="C36" s="32"/>
      <c r="D36" s="17"/>
      <c r="E36" s="17"/>
      <c r="AG36" s="4">
        <v>4</v>
      </c>
      <c r="AH36" s="4">
        <v>4</v>
      </c>
      <c r="AI36" s="4"/>
      <c r="AJ36" s="4"/>
      <c r="AK36" s="4"/>
      <c r="AL36" s="4"/>
      <c r="AM36" s="4"/>
      <c r="AN36" s="1"/>
      <c r="AQ36" s="1"/>
      <c r="AR36" s="28"/>
      <c r="AS36" s="28"/>
    </row>
    <row r="37" spans="1:45">
      <c r="A37" s="31" t="s">
        <v>209</v>
      </c>
      <c r="B37" s="31">
        <v>80</v>
      </c>
      <c r="C37" s="31"/>
      <c r="D37" s="17"/>
      <c r="E37" s="17"/>
      <c r="AG37" s="4">
        <v>4</v>
      </c>
      <c r="AH37" s="4">
        <v>8</v>
      </c>
      <c r="AI37" s="4"/>
      <c r="AJ37" s="4"/>
      <c r="AK37" s="4"/>
      <c r="AL37" s="4"/>
      <c r="AM37" s="4"/>
      <c r="AN37" s="1"/>
      <c r="AQ37" s="1"/>
      <c r="AR37" s="28"/>
      <c r="AS37" s="28"/>
    </row>
    <row r="38" spans="1:45">
      <c r="A38" s="31" t="s">
        <v>210</v>
      </c>
      <c r="B38" s="31" t="s">
        <v>102</v>
      </c>
      <c r="C38" s="31"/>
      <c r="D38" s="17">
        <v>80</v>
      </c>
      <c r="E38" s="13"/>
      <c r="AG38" s="4">
        <v>4</v>
      </c>
      <c r="AH38" s="4">
        <v>8</v>
      </c>
      <c r="AI38" s="4"/>
      <c r="AJ38" s="4"/>
      <c r="AK38" s="4"/>
      <c r="AL38" s="4"/>
      <c r="AM38" s="4"/>
      <c r="AN38" s="1"/>
      <c r="AQ38" s="1"/>
      <c r="AR38" s="28"/>
      <c r="AS38" s="28"/>
    </row>
    <row r="39" spans="1:45">
      <c r="A39" s="31"/>
      <c r="B39" s="31" t="s">
        <v>103</v>
      </c>
      <c r="C39" s="31"/>
      <c r="D39" s="17">
        <v>0</v>
      </c>
      <c r="E39" s="13"/>
      <c r="AG39" s="4">
        <v>4</v>
      </c>
      <c r="AH39" s="4">
        <v>8</v>
      </c>
      <c r="AI39" s="4"/>
      <c r="AJ39" s="4"/>
      <c r="AK39" s="4"/>
      <c r="AL39" s="4"/>
      <c r="AM39" s="4"/>
      <c r="AN39" s="1"/>
      <c r="AQ39" s="1"/>
      <c r="AR39" s="28"/>
      <c r="AS39" s="28"/>
    </row>
    <row r="40" spans="1:45">
      <c r="A40" s="31" t="s">
        <v>211</v>
      </c>
      <c r="B40" s="31">
        <v>40</v>
      </c>
      <c r="C40" s="17"/>
      <c r="D40" s="17"/>
      <c r="E40" s="17"/>
      <c r="AG40" s="4">
        <v>4</v>
      </c>
      <c r="AH40" s="4">
        <v>8</v>
      </c>
      <c r="AI40" s="4"/>
      <c r="AJ40" s="4"/>
      <c r="AK40" s="4"/>
      <c r="AL40" s="4"/>
      <c r="AM40" s="4"/>
      <c r="AN40" s="1"/>
      <c r="AQ40" s="1"/>
      <c r="AR40" s="28" t="s">
        <v>102</v>
      </c>
      <c r="AS40" s="28">
        <v>1</v>
      </c>
    </row>
    <row r="41" spans="1:45">
      <c r="A41" s="31" t="s">
        <v>212</v>
      </c>
      <c r="B41" s="31" t="s">
        <v>213</v>
      </c>
      <c r="C41" s="31"/>
      <c r="D41" s="17">
        <v>40</v>
      </c>
      <c r="E41" s="33">
        <f>1.05*1.05*1.15*D41</f>
        <v>50.715</v>
      </c>
      <c r="AG41" s="4">
        <v>4</v>
      </c>
      <c r="AH41" s="4">
        <v>8</v>
      </c>
      <c r="AI41" s="4"/>
      <c r="AJ41" s="4"/>
      <c r="AK41" s="4"/>
      <c r="AL41" s="4"/>
      <c r="AM41" s="4"/>
      <c r="AN41" s="1"/>
      <c r="AQ41" s="1"/>
      <c r="AR41" s="28"/>
      <c r="AS41" s="28"/>
    </row>
    <row r="42" spans="1:45">
      <c r="A42" s="31"/>
      <c r="B42" s="31" t="s">
        <v>214</v>
      </c>
      <c r="C42" s="31"/>
      <c r="D42" s="17">
        <v>0</v>
      </c>
      <c r="E42" s="33">
        <f>1.05*1.05*0.65*D42</f>
        <v>0</v>
      </c>
      <c r="AG42" s="4">
        <v>4</v>
      </c>
      <c r="AH42" s="4">
        <v>8</v>
      </c>
      <c r="AI42" s="4"/>
      <c r="AJ42" s="4"/>
      <c r="AK42" s="4"/>
      <c r="AL42" s="4"/>
      <c r="AM42" s="4"/>
      <c r="AN42" s="1"/>
      <c r="AQ42" s="1"/>
      <c r="AR42" s="28"/>
      <c r="AS42" s="28"/>
    </row>
    <row r="43" spans="1:45">
      <c r="A43" s="31"/>
      <c r="B43" s="31" t="s">
        <v>215</v>
      </c>
      <c r="C43" s="31"/>
      <c r="D43" s="17">
        <v>0</v>
      </c>
      <c r="E43" s="33">
        <f>1.5*0.75*1.15*D43</f>
        <v>0</v>
      </c>
      <c r="AG43" s="4">
        <v>1</v>
      </c>
      <c r="AH43" s="4">
        <v>2</v>
      </c>
      <c r="AI43" s="4">
        <v>1</v>
      </c>
      <c r="AJ43" s="4"/>
      <c r="AK43" s="4"/>
      <c r="AL43" s="4"/>
      <c r="AM43" s="4"/>
      <c r="AN43" s="1"/>
      <c r="AQ43" s="1"/>
      <c r="AR43" s="28"/>
      <c r="AS43" s="28"/>
    </row>
    <row r="44" spans="1:45">
      <c r="A44" s="31"/>
      <c r="B44" s="31" t="s">
        <v>216</v>
      </c>
      <c r="C44" s="31"/>
      <c r="D44" s="17">
        <v>0</v>
      </c>
      <c r="E44" s="33">
        <f>1.5*0.75*0.65*D44</f>
        <v>0</v>
      </c>
      <c r="I44" s="46">
        <f>14776.88-B46</f>
        <v>57.7199999999993</v>
      </c>
      <c r="AG44" s="4">
        <v>1</v>
      </c>
      <c r="AH44" s="4">
        <v>2</v>
      </c>
      <c r="AI44" s="4">
        <v>2</v>
      </c>
      <c r="AJ44" s="4">
        <v>2</v>
      </c>
      <c r="AK44" s="4"/>
      <c r="AL44" s="4"/>
      <c r="AM44" s="4"/>
      <c r="AN44" s="1"/>
      <c r="AQ44" s="1"/>
      <c r="AR44" s="28"/>
      <c r="AS44" s="28"/>
    </row>
    <row r="45" spans="1:45">
      <c r="A45" s="31" t="s">
        <v>217</v>
      </c>
      <c r="B45" s="34">
        <f>SUBTOTAL(9,E41:E44)</f>
        <v>50.715</v>
      </c>
      <c r="C45" s="17"/>
      <c r="D45" s="17"/>
      <c r="E45" s="35"/>
      <c r="I45" s="46"/>
      <c r="AG45" s="4">
        <v>2</v>
      </c>
      <c r="AH45" s="4">
        <v>4</v>
      </c>
      <c r="AI45" s="4">
        <v>4</v>
      </c>
      <c r="AJ45" s="4"/>
      <c r="AK45" s="4"/>
      <c r="AL45" s="4"/>
      <c r="AM45" s="4"/>
      <c r="AN45" s="1"/>
      <c r="AQ45" s="1"/>
      <c r="AR45" s="28" t="s">
        <v>102</v>
      </c>
      <c r="AS45" s="28">
        <v>1</v>
      </c>
    </row>
    <row r="46" spans="1:45">
      <c r="A46" s="31" t="s">
        <v>218</v>
      </c>
      <c r="B46" s="36">
        <v>14719.16</v>
      </c>
      <c r="C46" s="17"/>
      <c r="D46" s="17"/>
      <c r="E46" s="17"/>
      <c r="AG46" s="4">
        <v>2</v>
      </c>
      <c r="AH46" s="4">
        <v>2</v>
      </c>
      <c r="AI46" s="4"/>
      <c r="AJ46" s="4"/>
      <c r="AK46" s="4"/>
      <c r="AL46" s="4"/>
      <c r="AM46" s="4"/>
      <c r="AN46" s="1"/>
      <c r="AQ46" s="1"/>
      <c r="AR46" s="28"/>
      <c r="AS46" s="28"/>
    </row>
    <row r="47" spans="1:45">
      <c r="AG47" s="4">
        <v>3</v>
      </c>
      <c r="AH47" s="4">
        <v>6</v>
      </c>
      <c r="AI47" s="4">
        <v>3</v>
      </c>
      <c r="AJ47" s="4"/>
      <c r="AK47" s="4"/>
      <c r="AL47" s="4"/>
      <c r="AM47" s="4"/>
      <c r="AN47" s="1"/>
      <c r="AQ47" s="1"/>
      <c r="AR47" s="28"/>
      <c r="AS47" s="28"/>
    </row>
    <row r="48" spans="1:45">
      <c r="AG48" s="4">
        <v>3</v>
      </c>
      <c r="AH48" s="4">
        <v>6</v>
      </c>
      <c r="AI48" s="4">
        <v>3</v>
      </c>
      <c r="AJ48" s="4"/>
      <c r="AK48" s="4"/>
      <c r="AL48" s="4"/>
      <c r="AM48" s="4"/>
      <c r="AN48" s="1"/>
      <c r="AQ48" s="1"/>
      <c r="AR48" s="28"/>
      <c r="AS48" s="28"/>
    </row>
    <row r="49" spans="33:45">
      <c r="AG49" s="4">
        <v>3</v>
      </c>
      <c r="AH49" s="4">
        <v>6</v>
      </c>
      <c r="AI49" s="4">
        <v>3</v>
      </c>
      <c r="AJ49" s="4"/>
      <c r="AK49" s="4"/>
      <c r="AL49" s="4"/>
      <c r="AM49" s="4"/>
      <c r="AN49" s="1"/>
      <c r="AQ49" s="1"/>
      <c r="AR49" s="28" t="s">
        <v>102</v>
      </c>
      <c r="AS49" s="28">
        <v>1</v>
      </c>
    </row>
    <row r="50" spans="33:45">
      <c r="AG50" s="4">
        <v>3</v>
      </c>
      <c r="AH50" s="4">
        <v>6</v>
      </c>
      <c r="AI50" s="4">
        <v>3</v>
      </c>
      <c r="AJ50" s="4"/>
      <c r="AK50" s="4"/>
      <c r="AL50" s="4"/>
      <c r="AM50" s="4"/>
      <c r="AN50" s="1"/>
      <c r="AQ50" s="1"/>
      <c r="AR50" s="28"/>
      <c r="AS50" s="28"/>
    </row>
    <row r="51" spans="33:45">
      <c r="AG51" s="4">
        <v>3</v>
      </c>
      <c r="AH51" s="4">
        <v>6</v>
      </c>
      <c r="AI51" s="4">
        <v>3</v>
      </c>
      <c r="AJ51" s="4"/>
      <c r="AK51" s="4"/>
      <c r="AL51" s="4"/>
      <c r="AM51" s="4"/>
      <c r="AN51" s="1"/>
      <c r="AQ51" s="1"/>
      <c r="AR51" s="28"/>
      <c r="AS51" s="28"/>
    </row>
    <row r="52" spans="33:45">
      <c r="AG52" s="4">
        <v>3</v>
      </c>
      <c r="AH52" s="4">
        <v>6</v>
      </c>
      <c r="AI52" s="4"/>
      <c r="AJ52" s="4"/>
      <c r="AK52" s="4"/>
      <c r="AL52" s="4"/>
      <c r="AM52" s="4"/>
      <c r="AN52" s="1"/>
      <c r="AQ52" s="1"/>
      <c r="AR52" s="28"/>
      <c r="AS52" s="28"/>
    </row>
    <row r="53" spans="33:45">
      <c r="AG53" s="4">
        <v>3</v>
      </c>
      <c r="AH53" s="4">
        <v>6</v>
      </c>
      <c r="AI53" s="4"/>
      <c r="AJ53" s="4"/>
      <c r="AK53" s="4"/>
      <c r="AL53" s="4"/>
      <c r="AM53" s="4"/>
      <c r="AN53" s="1"/>
      <c r="AQ53" s="1"/>
      <c r="AR53" s="28" t="s">
        <v>103</v>
      </c>
      <c r="AS53" s="28">
        <v>1</v>
      </c>
    </row>
    <row r="54" spans="33:45">
      <c r="AG54" s="4">
        <v>3</v>
      </c>
      <c r="AH54" s="4">
        <v>3</v>
      </c>
      <c r="AI54" s="4"/>
      <c r="AJ54" s="4"/>
      <c r="AK54" s="4"/>
      <c r="AL54" s="4"/>
      <c r="AM54" s="4"/>
      <c r="AN54" s="1"/>
      <c r="AQ54" s="1"/>
      <c r="AR54" s="28"/>
      <c r="AS54" s="28"/>
    </row>
    <row r="55" spans="33:45">
      <c r="AG55" s="4">
        <v>3</v>
      </c>
      <c r="AH55" s="4"/>
      <c r="AI55" s="4"/>
      <c r="AJ55" s="4"/>
      <c r="AK55" s="4"/>
      <c r="AL55" s="4"/>
      <c r="AM55" s="4"/>
      <c r="AN55" s="1"/>
      <c r="AQ55" s="1"/>
      <c r="AR55" s="28"/>
      <c r="AS55" s="28"/>
    </row>
    <row r="56" spans="33:45">
      <c r="AG56" s="4">
        <v>3</v>
      </c>
      <c r="AH56" s="4"/>
      <c r="AI56" s="4"/>
      <c r="AJ56" s="4"/>
      <c r="AK56" s="4"/>
      <c r="AL56" s="4"/>
      <c r="AM56" s="4"/>
      <c r="AN56" s="1"/>
      <c r="AQ56" s="1"/>
      <c r="AR56" s="28"/>
      <c r="AS56" s="28"/>
    </row>
    <row r="57" spans="33:45">
      <c r="AG57" s="4">
        <v>3</v>
      </c>
      <c r="AH57" s="4">
        <v>6</v>
      </c>
      <c r="AI57" s="4"/>
      <c r="AJ57" s="4"/>
      <c r="AK57" s="4"/>
      <c r="AL57" s="4"/>
      <c r="AM57" s="4"/>
      <c r="AN57" s="1"/>
      <c r="AQ57" s="1"/>
      <c r="AR57" s="28" t="s">
        <v>102</v>
      </c>
      <c r="AS57" s="28">
        <v>1</v>
      </c>
    </row>
    <row r="58" spans="33:45">
      <c r="AG58" s="4">
        <v>3</v>
      </c>
      <c r="AH58" s="4">
        <v>6</v>
      </c>
      <c r="AI58" s="4">
        <v>3</v>
      </c>
      <c r="AJ58" s="4"/>
      <c r="AK58" s="4"/>
      <c r="AL58" s="4"/>
      <c r="AM58" s="4"/>
      <c r="AN58" s="1"/>
      <c r="AQ58" s="1"/>
      <c r="AR58" s="28"/>
      <c r="AS58" s="28"/>
    </row>
    <row r="59" spans="33:45">
      <c r="AG59" s="4">
        <v>3</v>
      </c>
      <c r="AH59" s="4">
        <v>6</v>
      </c>
      <c r="AI59" s="4">
        <v>3</v>
      </c>
      <c r="AJ59" s="4"/>
      <c r="AK59" s="4"/>
      <c r="AL59" s="4"/>
      <c r="AM59" s="4"/>
      <c r="AN59" s="1"/>
      <c r="AQ59" s="1"/>
      <c r="AR59" s="28"/>
      <c r="AS59" s="28"/>
    </row>
    <row r="60" spans="33:45">
      <c r="AG60" s="4">
        <v>3</v>
      </c>
      <c r="AH60" s="4">
        <v>6</v>
      </c>
      <c r="AI60" s="4">
        <v>3</v>
      </c>
      <c r="AJ60" s="4"/>
      <c r="AK60" s="4"/>
      <c r="AL60" s="4"/>
      <c r="AM60" s="4"/>
      <c r="AN60" s="1"/>
      <c r="AQ60" s="1"/>
      <c r="AR60" s="28"/>
      <c r="AS60" s="28"/>
    </row>
    <row r="61" spans="33:45">
      <c r="AG61" s="4">
        <v>4</v>
      </c>
      <c r="AH61" s="4">
        <v>4</v>
      </c>
      <c r="AI61" s="4"/>
      <c r="AJ61" s="4"/>
      <c r="AK61" s="4"/>
      <c r="AL61" s="4"/>
      <c r="AM61" s="4"/>
      <c r="AN61" s="1"/>
      <c r="AQ61" s="1"/>
      <c r="AR61" s="28" t="s">
        <v>102</v>
      </c>
      <c r="AS61" s="28">
        <v>1</v>
      </c>
    </row>
    <row r="62" spans="33:45">
      <c r="AG62" s="4">
        <v>4</v>
      </c>
      <c r="AH62" s="4">
        <v>4</v>
      </c>
      <c r="AI62" s="4"/>
      <c r="AJ62" s="4"/>
      <c r="AK62" s="4"/>
      <c r="AL62" s="4"/>
      <c r="AM62" s="4"/>
      <c r="AN62" s="1"/>
      <c r="AQ62" s="1"/>
      <c r="AR62" s="28"/>
      <c r="AS62" s="28"/>
    </row>
    <row r="63" spans="33:45">
      <c r="AG63" s="4">
        <v>4</v>
      </c>
      <c r="AH63" s="4">
        <v>8</v>
      </c>
      <c r="AI63" s="4"/>
      <c r="AJ63" s="4"/>
      <c r="AK63" s="4"/>
      <c r="AL63" s="4"/>
      <c r="AM63" s="4"/>
      <c r="AN63" s="1"/>
      <c r="AQ63" s="1"/>
      <c r="AR63" s="28"/>
      <c r="AS63" s="28"/>
    </row>
    <row r="64" spans="33:45">
      <c r="AG64" s="4">
        <v>4</v>
      </c>
      <c r="AH64" s="4">
        <v>8</v>
      </c>
      <c r="AI64" s="4"/>
      <c r="AJ64" s="4"/>
      <c r="AK64" s="4"/>
      <c r="AL64" s="4"/>
      <c r="AM64" s="4"/>
      <c r="AN64" s="1"/>
      <c r="AQ64" s="1"/>
      <c r="AR64" s="28"/>
      <c r="AS64" s="28"/>
    </row>
    <row r="65" spans="33:45">
      <c r="AG65" s="4">
        <v>4</v>
      </c>
      <c r="AH65" s="4">
        <v>8</v>
      </c>
      <c r="AI65" s="4"/>
      <c r="AJ65" s="4"/>
      <c r="AK65" s="4"/>
      <c r="AL65" s="4"/>
      <c r="AM65" s="4"/>
      <c r="AN65" s="1"/>
      <c r="AQ65" s="1"/>
      <c r="AR65" s="28"/>
      <c r="AS65" s="28"/>
    </row>
    <row r="66" spans="33:45">
      <c r="AG66" s="1">
        <v>4</v>
      </c>
      <c r="AH66" s="1">
        <v>8</v>
      </c>
      <c r="AI66" s="1"/>
      <c r="AJ66" s="1"/>
      <c r="AK66" s="1"/>
      <c r="AL66" s="1"/>
      <c r="AM66" s="1"/>
      <c r="AN66" s="1"/>
      <c r="AQ66" s="1"/>
      <c r="AR66" s="28" t="s">
        <v>102</v>
      </c>
      <c r="AS66" s="28">
        <v>1</v>
      </c>
    </row>
    <row r="67" spans="33:45">
      <c r="AG67" s="1">
        <v>4</v>
      </c>
      <c r="AH67" s="1">
        <v>8</v>
      </c>
      <c r="AI67" s="1"/>
      <c r="AJ67" s="1"/>
      <c r="AK67" s="1"/>
      <c r="AL67" s="1"/>
      <c r="AM67" s="1"/>
      <c r="AN67" s="1"/>
      <c r="AQ67" s="1"/>
      <c r="AR67" s="28"/>
      <c r="AS67" s="28"/>
    </row>
    <row r="68" spans="33:45">
      <c r="AG68" s="1">
        <v>4</v>
      </c>
      <c r="AH68" s="1">
        <v>8</v>
      </c>
      <c r="AI68" s="1"/>
      <c r="AJ68" s="1"/>
      <c r="AK68" s="1"/>
      <c r="AL68" s="1"/>
      <c r="AM68" s="1"/>
      <c r="AN68" s="1"/>
      <c r="AQ68" s="1"/>
      <c r="AR68" s="28"/>
      <c r="AS68" s="28"/>
    </row>
    <row r="69" spans="33:45">
      <c r="AG69" s="1">
        <v>4</v>
      </c>
      <c r="AH69" s="1">
        <v>4</v>
      </c>
      <c r="AI69" s="1"/>
      <c r="AJ69" s="1"/>
      <c r="AK69" s="1"/>
      <c r="AL69" s="1"/>
      <c r="AM69" s="1"/>
      <c r="AN69" s="1"/>
      <c r="AQ69" s="1"/>
      <c r="AR69" s="28"/>
      <c r="AS69" s="28"/>
    </row>
    <row r="70" spans="33:45">
      <c r="AG70" s="1">
        <v>4</v>
      </c>
      <c r="AH70" s="1">
        <v>4</v>
      </c>
      <c r="AI70" s="1"/>
      <c r="AJ70" s="1"/>
      <c r="AK70" s="1"/>
      <c r="AL70" s="1"/>
      <c r="AM70" s="1"/>
      <c r="AN70" s="1"/>
      <c r="AQ70" s="1"/>
      <c r="AR70" s="28" t="s">
        <v>102</v>
      </c>
      <c r="AS70" s="28">
        <v>1</v>
      </c>
    </row>
    <row r="71" spans="33:45">
      <c r="AG71" s="1">
        <v>4</v>
      </c>
      <c r="AH71" s="1">
        <v>4</v>
      </c>
      <c r="AI71" s="1"/>
      <c r="AJ71" s="1"/>
      <c r="AK71" s="1"/>
      <c r="AL71" s="1"/>
      <c r="AM71" s="1"/>
      <c r="AN71" s="1"/>
      <c r="AQ71" s="1"/>
      <c r="AR71" s="28"/>
      <c r="AS71" s="28"/>
    </row>
    <row r="72" spans="33:45">
      <c r="AG72" s="1">
        <v>4</v>
      </c>
      <c r="AH72" s="1">
        <v>4</v>
      </c>
      <c r="AI72" s="1"/>
      <c r="AJ72" s="1"/>
      <c r="AK72" s="1"/>
      <c r="AL72" s="1"/>
      <c r="AM72" s="1"/>
      <c r="AN72" s="1"/>
      <c r="AQ72" s="1"/>
      <c r="AR72" s="28"/>
      <c r="AS72" s="28"/>
    </row>
    <row r="73" spans="33:45">
      <c r="AG73" s="1">
        <v>4</v>
      </c>
      <c r="AH73" s="1">
        <v>4</v>
      </c>
      <c r="AI73" s="1"/>
      <c r="AJ73" s="1"/>
      <c r="AK73" s="1"/>
      <c r="AL73" s="1"/>
      <c r="AM73" s="1"/>
      <c r="AN73" s="1"/>
      <c r="AQ73" s="1"/>
      <c r="AR73" s="28"/>
      <c r="AS73" s="28"/>
    </row>
    <row r="74" spans="33:45">
      <c r="AG74" s="1">
        <v>4</v>
      </c>
      <c r="AH74" s="1">
        <v>4</v>
      </c>
      <c r="AI74" s="1"/>
      <c r="AJ74" s="1"/>
      <c r="AK74" s="1"/>
      <c r="AL74" s="1"/>
      <c r="AM74" s="1"/>
      <c r="AN74" s="1"/>
      <c r="AQ74" s="1"/>
      <c r="AR74" s="28"/>
      <c r="AS74" s="28"/>
    </row>
    <row r="75" spans="33:45">
      <c r="AG75" s="1">
        <v>4</v>
      </c>
      <c r="AH75" s="1">
        <v>4</v>
      </c>
      <c r="AI75" s="1"/>
      <c r="AJ75" s="1"/>
      <c r="AK75" s="1"/>
      <c r="AL75" s="1"/>
      <c r="AM75" s="1"/>
      <c r="AN75" s="1"/>
      <c r="AQ75" s="1"/>
      <c r="AR75" s="28"/>
      <c r="AS75" s="28"/>
    </row>
    <row r="76" spans="33:45">
      <c r="AG76" s="1">
        <v>4</v>
      </c>
      <c r="AH76" s="1">
        <v>8</v>
      </c>
      <c r="AI76" s="1"/>
      <c r="AJ76" s="1"/>
      <c r="AK76" s="1"/>
      <c r="AL76" s="1"/>
      <c r="AM76" s="1"/>
      <c r="AN76" s="1"/>
      <c r="AQ76" s="1"/>
      <c r="AR76" s="28" t="s">
        <v>102</v>
      </c>
      <c r="AS76" s="28">
        <v>1</v>
      </c>
    </row>
    <row r="77" spans="33:45">
      <c r="AG77" s="1">
        <v>4</v>
      </c>
      <c r="AH77" s="1">
        <v>4</v>
      </c>
      <c r="AI77" s="1"/>
      <c r="AJ77" s="1"/>
      <c r="AK77" s="1"/>
      <c r="AL77" s="1"/>
      <c r="AM77" s="1"/>
      <c r="AN77" s="1"/>
      <c r="AQ77" s="1"/>
      <c r="AR77" s="28"/>
      <c r="AS77" s="28"/>
    </row>
    <row r="78" spans="33:45">
      <c r="AG78" s="1">
        <v>4</v>
      </c>
      <c r="AH78" s="1">
        <v>8</v>
      </c>
      <c r="AI78" s="1"/>
      <c r="AJ78" s="1"/>
      <c r="AK78" s="1"/>
      <c r="AL78" s="1"/>
      <c r="AM78" s="1"/>
      <c r="AN78" s="1"/>
      <c r="AQ78" s="1"/>
      <c r="AR78" s="28"/>
      <c r="AS78" s="28"/>
    </row>
    <row r="79" spans="33:45">
      <c r="AG79" s="1">
        <v>4</v>
      </c>
      <c r="AH79" s="1">
        <v>8</v>
      </c>
      <c r="AI79" s="1"/>
      <c r="AJ79" s="1"/>
      <c r="AK79" s="1"/>
      <c r="AL79" s="1"/>
      <c r="AM79" s="1"/>
      <c r="AN79" s="1"/>
      <c r="AQ79" s="1"/>
      <c r="AR79" s="28"/>
      <c r="AS79" s="28"/>
    </row>
    <row r="80" spans="33:45">
      <c r="AG80" s="1">
        <v>4</v>
      </c>
      <c r="AH80" s="1">
        <v>8</v>
      </c>
      <c r="AI80" s="1"/>
      <c r="AJ80" s="1"/>
      <c r="AK80" s="1"/>
      <c r="AL80" s="1"/>
      <c r="AM80" s="1"/>
      <c r="AN80" s="1"/>
      <c r="AQ80" s="1"/>
      <c r="AR80" s="28" t="s">
        <v>102</v>
      </c>
      <c r="AS80" s="28">
        <v>1</v>
      </c>
    </row>
    <row r="81" spans="33:45">
      <c r="AG81" s="1">
        <v>1</v>
      </c>
      <c r="AH81" s="1">
        <v>2</v>
      </c>
      <c r="AI81" s="1">
        <v>2</v>
      </c>
      <c r="AJ81" s="1">
        <v>1</v>
      </c>
      <c r="AK81" s="1"/>
      <c r="AL81" s="1"/>
      <c r="AM81" s="1"/>
      <c r="AN81" s="1"/>
      <c r="AQ81" s="1"/>
      <c r="AR81" s="28"/>
      <c r="AS81" s="28"/>
    </row>
    <row r="82" spans="33:45">
      <c r="AG82" s="1">
        <v>2</v>
      </c>
      <c r="AH82" s="1">
        <v>4</v>
      </c>
      <c r="AI82" s="1">
        <v>4</v>
      </c>
      <c r="AJ82" s="1"/>
      <c r="AK82" s="1"/>
      <c r="AL82" s="1"/>
      <c r="AM82" s="1"/>
      <c r="AN82" s="1"/>
      <c r="AQ82" s="1"/>
      <c r="AR82" s="28"/>
      <c r="AS82" s="28"/>
    </row>
    <row r="83" spans="33:45">
      <c r="AG83" s="1">
        <v>2</v>
      </c>
      <c r="AH83" s="1">
        <v>4</v>
      </c>
      <c r="AI83" s="1">
        <v>2</v>
      </c>
      <c r="AJ83" s="1"/>
      <c r="AK83" s="1"/>
      <c r="AL83" s="1"/>
      <c r="AM83" s="1"/>
      <c r="AN83"/>
      <c r="AQ83" s="47"/>
      <c r="AR83" s="28"/>
      <c r="AS83" s="28"/>
    </row>
    <row r="84" spans="33:45">
      <c r="AG84" s="1">
        <v>2</v>
      </c>
      <c r="AH84" s="1">
        <v>4</v>
      </c>
      <c r="AI84" s="1">
        <v>4</v>
      </c>
      <c r="AJ84" s="1"/>
      <c r="AK84" s="1"/>
      <c r="AL84" s="1"/>
      <c r="AM84" s="1"/>
      <c r="AN84"/>
      <c r="AQ84" s="47"/>
      <c r="AR84" s="28" t="s">
        <v>102</v>
      </c>
      <c r="AS84" s="28">
        <v>1</v>
      </c>
    </row>
    <row r="85" spans="33:45">
      <c r="AG85" s="1">
        <v>2</v>
      </c>
      <c r="AH85" s="1">
        <v>4</v>
      </c>
      <c r="AI85" s="1">
        <v>4</v>
      </c>
      <c r="AJ85" s="1"/>
      <c r="AK85" s="1"/>
      <c r="AL85" s="1"/>
      <c r="AM85" s="1"/>
      <c r="AN85"/>
      <c r="AQ85" s="47"/>
      <c r="AR85" s="28"/>
      <c r="AS85" s="28"/>
    </row>
    <row r="86" spans="33:45">
      <c r="AG86" s="1">
        <v>2</v>
      </c>
      <c r="AH86" s="1">
        <v>4</v>
      </c>
      <c r="AI86" s="1">
        <v>4</v>
      </c>
      <c r="AJ86" s="1"/>
      <c r="AK86" s="1"/>
      <c r="AL86" s="1"/>
      <c r="AM86" s="1"/>
      <c r="AN86"/>
      <c r="AQ86" s="47"/>
      <c r="AR86" s="28"/>
      <c r="AS86" s="28"/>
    </row>
    <row r="87" spans="33:45">
      <c r="AG87" s="1">
        <v>2</v>
      </c>
      <c r="AH87" s="1">
        <v>4</v>
      </c>
      <c r="AI87" s="1">
        <v>4</v>
      </c>
      <c r="AJ87" s="1"/>
      <c r="AK87" s="1"/>
      <c r="AL87" s="1"/>
      <c r="AM87" s="1"/>
      <c r="AN87"/>
      <c r="AQ87" s="47"/>
      <c r="AR87" s="28"/>
      <c r="AS87" s="28"/>
    </row>
    <row r="88" spans="33:45">
      <c r="AG88" s="2">
        <f t="shared" ref="AG88:AM88" si="1">SUM(AG6:AG87)</f>
        <v>289</v>
      </c>
      <c r="AH88" s="2">
        <f t="shared" si="1"/>
        <v>473</v>
      </c>
      <c r="AI88" s="2">
        <f t="shared" si="1"/>
        <v>55</v>
      </c>
      <c r="AJ88" s="2">
        <f t="shared" si="1"/>
        <v>3</v>
      </c>
      <c r="AK88" s="2">
        <f t="shared" si="1"/>
        <v>0</v>
      </c>
      <c r="AL88" s="2">
        <f t="shared" si="1"/>
        <v>0</v>
      </c>
      <c r="AM88" s="2">
        <f t="shared" si="1"/>
        <v>0</v>
      </c>
      <c r="AQ88" s="2">
        <f>SUM(AQ6:AQ87)</f>
        <v>16502</v>
      </c>
      <c r="AS88" s="2">
        <f>SUM(AS6:AS87)</f>
        <v>19</v>
      </c>
    </row>
  </sheetData>
  <autoFilter xmlns:etc="http://www.wps.cn/officeDocument/2017/etCustomData" ref="AO1:AP46" etc:filterBottomFollowUsedRange="0">
    <extLst/>
  </autoFilter>
  <mergeCells count="53">
    <mergeCell ref="B38:C38"/>
    <mergeCell ref="B39:C39"/>
    <mergeCell ref="B41:C41"/>
    <mergeCell ref="B42:C42"/>
    <mergeCell ref="B43:C43"/>
    <mergeCell ref="B44:C44"/>
    <mergeCell ref="A1:A3"/>
    <mergeCell ref="B1:B3"/>
    <mergeCell ref="C1:C3"/>
    <mergeCell ref="AN1:AN3"/>
    <mergeCell ref="AO1:AO3"/>
    <mergeCell ref="AP1:AP3"/>
    <mergeCell ref="AQ1:AQ3"/>
    <mergeCell ref="AR1:AR3"/>
    <mergeCell ref="AR6:AR7"/>
    <mergeCell ref="AR8:AR12"/>
    <mergeCell ref="AR13:AR19"/>
    <mergeCell ref="AR20:AR23"/>
    <mergeCell ref="AR24:AR25"/>
    <mergeCell ref="AR26:AR29"/>
    <mergeCell ref="AR30:AR34"/>
    <mergeCell ref="AR35:AR39"/>
    <mergeCell ref="AR40:AR44"/>
    <mergeCell ref="AR45:AR48"/>
    <mergeCell ref="AR49:AR52"/>
    <mergeCell ref="AR53:AR56"/>
    <mergeCell ref="AR57:AR60"/>
    <mergeCell ref="AR61:AR65"/>
    <mergeCell ref="AR66:AR69"/>
    <mergeCell ref="AR70:AR75"/>
    <mergeCell ref="AR76:AR79"/>
    <mergeCell ref="AR80:AR83"/>
    <mergeCell ref="AR84:AR87"/>
    <mergeCell ref="AS1:AS3"/>
    <mergeCell ref="AS6:AS7"/>
    <mergeCell ref="AS8:AS12"/>
    <mergeCell ref="AS13:AS19"/>
    <mergeCell ref="AS20:AS23"/>
    <mergeCell ref="AS24:AS25"/>
    <mergeCell ref="AS26:AS29"/>
    <mergeCell ref="AS30:AS34"/>
    <mergeCell ref="AS35:AS39"/>
    <mergeCell ref="AS40:AS44"/>
    <mergeCell ref="AS45:AS48"/>
    <mergeCell ref="AS49:AS52"/>
    <mergeCell ref="AS53:AS56"/>
    <mergeCell ref="AS57:AS60"/>
    <mergeCell ref="AS61:AS65"/>
    <mergeCell ref="AS66:AS69"/>
    <mergeCell ref="AS70:AS75"/>
    <mergeCell ref="AS76:AS79"/>
    <mergeCell ref="AS80:AS83"/>
    <mergeCell ref="AS84:AS87"/>
  </mergeCells>
  <pageMargins left="0.75" right="0.75" top="1" bottom="1" header="0.5" footer="0.5"/>
  <pageSetup paperSize="9" scale="46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AU100"/>
  <sheetViews>
    <sheetView view="pageBreakPreview" zoomScaleNormal="70" workbookViewId="0">
      <pane xSplit="3" ySplit="3" topLeftCell="D85" activePane="bottomRight" state="frozen"/>
      <selection/>
      <selection pane="topRight"/>
      <selection pane="bottomLeft"/>
      <selection pane="bottomRight" activeCell="B100" sqref="B100"/>
    </sheetView>
  </sheetViews>
  <sheetFormatPr defaultColWidth="9" defaultRowHeight="15"/>
  <cols>
    <col min="1" max="1" width="13.6666666666667" style="2" customWidth="1"/>
    <col min="2" max="2" width="13.4" style="2" customWidth="1"/>
    <col min="3" max="3" width="8.66666666666667" style="2" customWidth="1"/>
    <col min="4" max="40" width="7.93333333333333" style="2" customWidth="1"/>
    <col min="41" max="41" width="13.9833333333333" style="2" customWidth="1"/>
    <col min="42" max="45" width="9" style="2"/>
    <col min="46" max="46" width="14.2416666666667" style="2" customWidth="1"/>
    <col min="47" max="16384" width="9" style="2"/>
  </cols>
  <sheetData>
    <row r="1" spans="1:47">
      <c r="A1" s="11" t="s">
        <v>0</v>
      </c>
      <c r="B1" s="12" t="s">
        <v>1</v>
      </c>
      <c r="C1" s="13" t="s">
        <v>2</v>
      </c>
      <c r="D1" s="14" t="s">
        <v>3</v>
      </c>
      <c r="E1" s="14" t="s">
        <v>3</v>
      </c>
      <c r="F1" s="14" t="s">
        <v>3</v>
      </c>
      <c r="G1" s="14" t="s">
        <v>3</v>
      </c>
      <c r="H1" s="14" t="s">
        <v>3</v>
      </c>
      <c r="I1" s="14" t="s">
        <v>3</v>
      </c>
      <c r="J1" s="14" t="s">
        <v>3</v>
      </c>
      <c r="K1" s="14" t="s">
        <v>3</v>
      </c>
      <c r="L1" s="14" t="s">
        <v>3</v>
      </c>
      <c r="M1" s="14" t="s">
        <v>3</v>
      </c>
      <c r="N1" s="14" t="s">
        <v>3</v>
      </c>
      <c r="O1" s="14" t="s">
        <v>3</v>
      </c>
      <c r="P1" s="14" t="s">
        <v>3</v>
      </c>
      <c r="Q1" s="14" t="s">
        <v>3</v>
      </c>
      <c r="R1" s="14" t="s">
        <v>3</v>
      </c>
      <c r="S1" s="14" t="s">
        <v>3</v>
      </c>
      <c r="T1" s="14" t="s">
        <v>3</v>
      </c>
      <c r="U1" s="14" t="s">
        <v>3</v>
      </c>
      <c r="V1" s="15" t="s">
        <v>4</v>
      </c>
      <c r="W1" s="15" t="s">
        <v>4</v>
      </c>
      <c r="X1" s="15" t="s">
        <v>4</v>
      </c>
      <c r="Y1" s="15" t="s">
        <v>4</v>
      </c>
      <c r="Z1" s="15" t="s">
        <v>4</v>
      </c>
      <c r="AA1" s="15" t="s">
        <v>4</v>
      </c>
      <c r="AB1" s="15" t="s">
        <v>4</v>
      </c>
      <c r="AC1" s="15" t="s">
        <v>4</v>
      </c>
      <c r="AD1" s="15" t="s">
        <v>4</v>
      </c>
      <c r="AE1" s="15" t="s">
        <v>4</v>
      </c>
      <c r="AF1" s="15" t="s">
        <v>4</v>
      </c>
      <c r="AG1" s="16" t="s">
        <v>4</v>
      </c>
      <c r="AH1" s="16" t="s">
        <v>4</v>
      </c>
      <c r="AI1" s="16" t="s">
        <v>4</v>
      </c>
      <c r="AJ1" s="16" t="s">
        <v>4</v>
      </c>
      <c r="AK1" s="16" t="s">
        <v>4</v>
      </c>
      <c r="AL1" s="16" t="s">
        <v>4</v>
      </c>
      <c r="AM1" s="16" t="s">
        <v>4</v>
      </c>
      <c r="AN1" s="16"/>
      <c r="AO1" s="17" t="s">
        <v>6</v>
      </c>
      <c r="AP1" s="17"/>
      <c r="AQ1" s="17"/>
      <c r="AR1" s="17" t="s">
        <v>7</v>
      </c>
      <c r="AS1" s="18"/>
      <c r="AT1" s="19" t="s">
        <v>6</v>
      </c>
      <c r="AU1" s="19" t="s">
        <v>9</v>
      </c>
    </row>
    <row r="2" ht="16.5" customHeight="1" spans="1:47">
      <c r="A2" s="11"/>
      <c r="B2" s="12"/>
      <c r="C2" s="13"/>
      <c r="D2" s="13" t="s">
        <v>10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15</v>
      </c>
      <c r="J2" s="13" t="s">
        <v>16</v>
      </c>
      <c r="K2" s="13" t="s">
        <v>17</v>
      </c>
      <c r="L2" s="13" t="s">
        <v>18</v>
      </c>
      <c r="M2" s="13" t="s">
        <v>19</v>
      </c>
      <c r="N2" s="13" t="s">
        <v>20</v>
      </c>
      <c r="O2" s="13" t="s">
        <v>21</v>
      </c>
      <c r="P2" s="13" t="s">
        <v>22</v>
      </c>
      <c r="Q2" s="13" t="s">
        <v>23</v>
      </c>
      <c r="R2" s="13" t="s">
        <v>24</v>
      </c>
      <c r="S2" s="13" t="s">
        <v>25</v>
      </c>
      <c r="T2" s="13" t="s">
        <v>26</v>
      </c>
      <c r="U2" s="13" t="s">
        <v>27</v>
      </c>
      <c r="V2" s="13" t="s">
        <v>28</v>
      </c>
      <c r="W2" s="13" t="s">
        <v>29</v>
      </c>
      <c r="X2" s="13" t="s">
        <v>30</v>
      </c>
      <c r="Y2" s="13" t="s">
        <v>31</v>
      </c>
      <c r="Z2" s="13" t="s">
        <v>32</v>
      </c>
      <c r="AA2" s="13" t="s">
        <v>33</v>
      </c>
      <c r="AB2" s="13" t="s">
        <v>34</v>
      </c>
      <c r="AC2" s="13" t="s">
        <v>35</v>
      </c>
      <c r="AD2" s="13" t="s">
        <v>36</v>
      </c>
      <c r="AE2" s="13" t="s">
        <v>37</v>
      </c>
      <c r="AF2" s="13" t="s">
        <v>38</v>
      </c>
      <c r="AG2" s="13" t="s">
        <v>39</v>
      </c>
      <c r="AH2" s="13" t="s">
        <v>40</v>
      </c>
      <c r="AI2" s="13" t="s">
        <v>41</v>
      </c>
      <c r="AJ2" s="13" t="s">
        <v>42</v>
      </c>
      <c r="AK2" s="13" t="s">
        <v>43</v>
      </c>
      <c r="AL2" s="13" t="s">
        <v>44</v>
      </c>
      <c r="AM2" s="13" t="s">
        <v>45</v>
      </c>
      <c r="AN2" s="13"/>
      <c r="AO2" s="17"/>
      <c r="AP2" s="17"/>
      <c r="AQ2" s="17"/>
      <c r="AR2" s="17"/>
      <c r="AS2" s="18"/>
      <c r="AT2" s="20"/>
      <c r="AU2" s="20"/>
    </row>
    <row r="3" spans="1:47">
      <c r="A3" s="11"/>
      <c r="B3" s="12"/>
      <c r="C3" s="21"/>
      <c r="D3" s="22">
        <v>571</v>
      </c>
      <c r="E3" s="22">
        <v>571</v>
      </c>
      <c r="F3" s="22">
        <v>571</v>
      </c>
      <c r="G3" s="22">
        <v>571</v>
      </c>
      <c r="H3" s="22">
        <v>571.040026246719</v>
      </c>
      <c r="I3" s="22"/>
      <c r="J3" s="22">
        <v>494</v>
      </c>
      <c r="K3" s="22">
        <v>513</v>
      </c>
      <c r="L3" s="22">
        <v>513</v>
      </c>
      <c r="M3" s="22">
        <v>513</v>
      </c>
      <c r="N3" s="22">
        <v>504</v>
      </c>
      <c r="O3" s="22">
        <v>493</v>
      </c>
      <c r="P3" s="22">
        <v>513</v>
      </c>
      <c r="Q3" s="22">
        <v>513</v>
      </c>
      <c r="R3" s="22">
        <v>513</v>
      </c>
      <c r="S3" s="22">
        <v>503</v>
      </c>
      <c r="T3" s="22">
        <v>268</v>
      </c>
      <c r="U3" s="22">
        <v>268</v>
      </c>
      <c r="V3" s="22">
        <v>412</v>
      </c>
      <c r="W3" s="22">
        <v>484</v>
      </c>
      <c r="X3" s="22">
        <v>540</v>
      </c>
      <c r="Y3" s="22">
        <v>748</v>
      </c>
      <c r="Z3" s="22">
        <v>956</v>
      </c>
      <c r="AA3" s="22">
        <v>1008</v>
      </c>
      <c r="AB3" s="22">
        <v>1028</v>
      </c>
      <c r="AC3" s="22">
        <v>1216</v>
      </c>
      <c r="AD3" s="22">
        <v>1226</v>
      </c>
      <c r="AE3" s="22">
        <v>1426</v>
      </c>
      <c r="AF3" s="22">
        <v>1436</v>
      </c>
      <c r="AG3" s="22">
        <v>30</v>
      </c>
      <c r="AH3" s="22">
        <v>72</v>
      </c>
      <c r="AI3" s="22">
        <v>112</v>
      </c>
      <c r="AJ3" s="22">
        <v>152</v>
      </c>
      <c r="AK3" s="22">
        <v>192</v>
      </c>
      <c r="AL3" s="22">
        <v>232</v>
      </c>
      <c r="AM3" s="22">
        <v>272</v>
      </c>
      <c r="AN3" s="22"/>
      <c r="AO3" s="17"/>
      <c r="AP3" s="17"/>
      <c r="AQ3" s="17"/>
      <c r="AR3" s="17"/>
      <c r="AS3" s="18"/>
      <c r="AT3" s="23"/>
      <c r="AU3" s="23"/>
    </row>
    <row r="4" customFormat="1" spans="1:47">
      <c r="A4" s="11"/>
      <c r="B4" s="24"/>
      <c r="C4" s="13"/>
      <c r="D4" s="25" t="s">
        <v>46</v>
      </c>
      <c r="E4" s="25" t="s">
        <v>47</v>
      </c>
      <c r="F4" s="25" t="s">
        <v>48</v>
      </c>
      <c r="G4" s="25" t="s">
        <v>49</v>
      </c>
      <c r="H4" s="25" t="s">
        <v>50</v>
      </c>
      <c r="I4" s="25" t="s">
        <v>51</v>
      </c>
      <c r="J4" s="25" t="s">
        <v>52</v>
      </c>
      <c r="K4" s="25" t="s">
        <v>53</v>
      </c>
      <c r="L4" s="25" t="s">
        <v>54</v>
      </c>
      <c r="M4" s="25" t="s">
        <v>55</v>
      </c>
      <c r="N4" s="25" t="s">
        <v>56</v>
      </c>
      <c r="O4" s="25" t="s">
        <v>57</v>
      </c>
      <c r="P4" s="25" t="s">
        <v>58</v>
      </c>
      <c r="Q4" s="25" t="s">
        <v>59</v>
      </c>
      <c r="R4" s="25" t="s">
        <v>60</v>
      </c>
      <c r="S4" s="25" t="s">
        <v>61</v>
      </c>
      <c r="T4" s="25" t="s">
        <v>62</v>
      </c>
      <c r="U4" s="25" t="s">
        <v>63</v>
      </c>
      <c r="V4" s="25" t="s">
        <v>64</v>
      </c>
      <c r="W4" s="25" t="s">
        <v>65</v>
      </c>
      <c r="X4" s="25" t="s">
        <v>66</v>
      </c>
      <c r="Y4" s="25" t="s">
        <v>67</v>
      </c>
      <c r="Z4" s="25" t="s">
        <v>68</v>
      </c>
      <c r="AA4" s="25" t="s">
        <v>69</v>
      </c>
      <c r="AB4" s="25" t="s">
        <v>70</v>
      </c>
      <c r="AC4" s="25" t="s">
        <v>71</v>
      </c>
      <c r="AD4" s="25" t="s">
        <v>72</v>
      </c>
      <c r="AE4" s="25" t="s">
        <v>73</v>
      </c>
      <c r="AF4" s="25" t="s">
        <v>74</v>
      </c>
      <c r="AG4" s="25" t="s">
        <v>75</v>
      </c>
      <c r="AH4" s="25" t="s">
        <v>76</v>
      </c>
      <c r="AI4" s="25" t="s">
        <v>77</v>
      </c>
      <c r="AJ4" s="25" t="s">
        <v>78</v>
      </c>
      <c r="AK4" s="25" t="s">
        <v>79</v>
      </c>
      <c r="AL4" s="25" t="s">
        <v>80</v>
      </c>
      <c r="AM4" s="25" t="s">
        <v>81</v>
      </c>
      <c r="AN4" s="25"/>
      <c r="AO4" s="17"/>
      <c r="AP4" s="17"/>
      <c r="AQ4" s="17"/>
      <c r="AR4" s="17"/>
      <c r="AS4" s="18"/>
      <c r="AT4" s="23"/>
      <c r="AU4" s="23"/>
    </row>
    <row r="5" customFormat="1" spans="1:47">
      <c r="A5" s="11"/>
      <c r="B5" s="24"/>
      <c r="C5" s="13"/>
      <c r="D5" s="25" t="s">
        <v>82</v>
      </c>
      <c r="E5" s="25" t="s">
        <v>83</v>
      </c>
      <c r="F5" s="25" t="s">
        <v>84</v>
      </c>
      <c r="G5" s="25" t="s">
        <v>85</v>
      </c>
      <c r="H5" s="25" t="s">
        <v>86</v>
      </c>
      <c r="I5" s="25" t="s">
        <v>87</v>
      </c>
      <c r="J5" s="25" t="s">
        <v>88</v>
      </c>
      <c r="K5" s="25" t="s">
        <v>89</v>
      </c>
      <c r="L5" s="25" t="s">
        <v>90</v>
      </c>
      <c r="M5" s="25" t="s">
        <v>91</v>
      </c>
      <c r="N5" s="25" t="s">
        <v>92</v>
      </c>
      <c r="O5" s="25" t="s">
        <v>93</v>
      </c>
      <c r="P5" s="25" t="s">
        <v>94</v>
      </c>
      <c r="Q5" s="25" t="s">
        <v>95</v>
      </c>
      <c r="R5" s="25" t="s">
        <v>96</v>
      </c>
      <c r="S5" s="25" t="s">
        <v>97</v>
      </c>
      <c r="T5" s="25" t="s">
        <v>98</v>
      </c>
      <c r="U5" s="25" t="s">
        <v>99</v>
      </c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17"/>
      <c r="AP5" s="17"/>
      <c r="AQ5" s="17"/>
      <c r="AR5" s="17"/>
      <c r="AS5" s="18"/>
      <c r="AT5" s="20"/>
      <c r="AU5" s="20"/>
    </row>
    <row r="6" s="1" customFormat="1" spans="1:47">
      <c r="A6" s="1" t="s">
        <v>100</v>
      </c>
      <c r="B6" s="1" t="s">
        <v>101</v>
      </c>
      <c r="C6" s="1">
        <v>12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>
        <v>4</v>
      </c>
      <c r="AH6" s="4">
        <v>8</v>
      </c>
      <c r="AI6" s="4"/>
      <c r="AJ6" s="4"/>
      <c r="AK6" s="4"/>
      <c r="AL6" s="4"/>
      <c r="AM6" s="4"/>
      <c r="AN6" s="4"/>
      <c r="AO6" s="26" t="s">
        <v>102</v>
      </c>
      <c r="AP6" s="26"/>
      <c r="AQ6" s="26"/>
      <c r="AR6" s="26">
        <v>3</v>
      </c>
      <c r="AS6" s="27"/>
      <c r="AT6" s="28" t="s">
        <v>103</v>
      </c>
      <c r="AU6" s="28">
        <v>1</v>
      </c>
    </row>
    <row r="7" s="1" customFormat="1" spans="1:47">
      <c r="A7" s="1" t="s">
        <v>104</v>
      </c>
      <c r="B7" s="1" t="s">
        <v>101</v>
      </c>
      <c r="C7" s="1">
        <v>12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>
        <v>4</v>
      </c>
      <c r="AH7" s="4">
        <v>8</v>
      </c>
      <c r="AI7" s="4"/>
      <c r="AJ7" s="4"/>
      <c r="AK7" s="4"/>
      <c r="AL7" s="4"/>
      <c r="AM7" s="4"/>
      <c r="AN7" s="4"/>
      <c r="AO7" s="26" t="s">
        <v>102</v>
      </c>
      <c r="AP7" s="26"/>
      <c r="AQ7" s="26"/>
      <c r="AR7" s="26">
        <v>3</v>
      </c>
      <c r="AS7" s="27"/>
      <c r="AT7" s="28"/>
      <c r="AU7" s="28"/>
    </row>
    <row r="8" s="1" customFormat="1" spans="1:47">
      <c r="A8" s="1" t="s">
        <v>105</v>
      </c>
      <c r="B8" s="1" t="s">
        <v>106</v>
      </c>
      <c r="C8" s="1">
        <v>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>
        <v>4</v>
      </c>
      <c r="AH8" s="4">
        <v>4</v>
      </c>
      <c r="AI8" s="4"/>
      <c r="AJ8" s="4"/>
      <c r="AK8" s="4"/>
      <c r="AL8" s="4"/>
      <c r="AM8" s="4"/>
      <c r="AN8" s="4"/>
      <c r="AO8" s="26" t="s">
        <v>102</v>
      </c>
      <c r="AP8" s="26"/>
      <c r="AQ8" s="26"/>
      <c r="AR8" s="26">
        <v>2</v>
      </c>
      <c r="AS8" s="27"/>
      <c r="AT8" s="28" t="s">
        <v>102</v>
      </c>
      <c r="AU8" s="28">
        <v>1</v>
      </c>
    </row>
    <row r="9" s="1" customFormat="1" spans="1:47">
      <c r="A9" s="1" t="s">
        <v>107</v>
      </c>
      <c r="B9" s="1" t="s">
        <v>106</v>
      </c>
      <c r="C9" s="1">
        <v>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>
        <v>4</v>
      </c>
      <c r="AH9" s="4">
        <v>4</v>
      </c>
      <c r="AI9" s="4"/>
      <c r="AJ9" s="4"/>
      <c r="AK9" s="4"/>
      <c r="AL9" s="4"/>
      <c r="AM9" s="4"/>
      <c r="AN9" s="4"/>
      <c r="AO9" s="26" t="s">
        <v>102</v>
      </c>
      <c r="AP9" s="26"/>
      <c r="AQ9" s="26"/>
      <c r="AR9" s="26">
        <v>2</v>
      </c>
      <c r="AS9" s="27"/>
      <c r="AT9" s="28"/>
      <c r="AU9" s="28"/>
    </row>
    <row r="10" s="1" customFormat="1" spans="1:47">
      <c r="A10" s="1" t="s">
        <v>108</v>
      </c>
      <c r="B10" s="1" t="s">
        <v>101</v>
      </c>
      <c r="C10" s="1">
        <v>12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>
        <v>4</v>
      </c>
      <c r="AH10" s="4">
        <v>8</v>
      </c>
      <c r="AI10" s="4"/>
      <c r="AJ10" s="4"/>
      <c r="AK10" s="4"/>
      <c r="AL10" s="4"/>
      <c r="AM10" s="4"/>
      <c r="AN10" s="4"/>
      <c r="AO10" s="26" t="s">
        <v>102</v>
      </c>
      <c r="AP10" s="26"/>
      <c r="AQ10" s="26"/>
      <c r="AR10" s="26">
        <v>3</v>
      </c>
      <c r="AS10" s="27"/>
      <c r="AT10" s="28"/>
      <c r="AU10" s="28"/>
    </row>
    <row r="11" s="1" customFormat="1" spans="1:47">
      <c r="A11" s="1" t="s">
        <v>109</v>
      </c>
      <c r="B11" s="1" t="s">
        <v>101</v>
      </c>
      <c r="C11" s="1">
        <v>12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>
        <v>4</v>
      </c>
      <c r="AH11" s="4">
        <v>8</v>
      </c>
      <c r="AI11" s="4"/>
      <c r="AJ11" s="4"/>
      <c r="AK11" s="4"/>
      <c r="AL11" s="4"/>
      <c r="AM11" s="4"/>
      <c r="AN11" s="4"/>
      <c r="AO11" s="26" t="s">
        <v>102</v>
      </c>
      <c r="AP11" s="26"/>
      <c r="AQ11" s="26"/>
      <c r="AR11" s="26">
        <v>3</v>
      </c>
      <c r="AS11" s="27"/>
      <c r="AT11" s="28"/>
      <c r="AU11" s="28"/>
    </row>
    <row r="12" s="1" customFormat="1" spans="1:47">
      <c r="A12" s="1" t="s">
        <v>110</v>
      </c>
      <c r="B12" s="1" t="s">
        <v>101</v>
      </c>
      <c r="C12" s="1">
        <v>12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>
        <v>4</v>
      </c>
      <c r="AH12" s="4">
        <v>8</v>
      </c>
      <c r="AI12" s="4"/>
      <c r="AJ12" s="4"/>
      <c r="AK12" s="4"/>
      <c r="AL12" s="4"/>
      <c r="AM12" s="4"/>
      <c r="AN12" s="4"/>
      <c r="AO12" s="26" t="s">
        <v>102</v>
      </c>
      <c r="AP12" s="26"/>
      <c r="AQ12" s="26"/>
      <c r="AR12" s="26">
        <v>3</v>
      </c>
      <c r="AS12" s="27"/>
      <c r="AT12" s="28"/>
      <c r="AU12" s="28"/>
    </row>
    <row r="13" s="1" customFormat="1" spans="1:47">
      <c r="A13" s="1" t="s">
        <v>111</v>
      </c>
      <c r="B13" s="1" t="s">
        <v>106</v>
      </c>
      <c r="C13" s="1">
        <v>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>
        <v>4</v>
      </c>
      <c r="AH13" s="4">
        <v>4</v>
      </c>
      <c r="AI13" s="4"/>
      <c r="AJ13" s="4"/>
      <c r="AK13" s="4"/>
      <c r="AL13" s="4"/>
      <c r="AM13" s="4"/>
      <c r="AN13" s="4"/>
      <c r="AO13" s="26" t="s">
        <v>102</v>
      </c>
      <c r="AP13" s="26"/>
      <c r="AQ13" s="26"/>
      <c r="AR13" s="26">
        <v>2</v>
      </c>
      <c r="AS13" s="27"/>
      <c r="AT13" s="28" t="s">
        <v>102</v>
      </c>
      <c r="AU13" s="28">
        <v>1</v>
      </c>
    </row>
    <row r="14" s="1" customFormat="1" spans="1:47">
      <c r="A14" s="1" t="s">
        <v>112</v>
      </c>
      <c r="B14" s="1" t="s">
        <v>106</v>
      </c>
      <c r="C14" s="1">
        <v>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>
        <v>4</v>
      </c>
      <c r="AH14" s="4">
        <v>4</v>
      </c>
      <c r="AI14" s="4"/>
      <c r="AJ14" s="4"/>
      <c r="AK14" s="4"/>
      <c r="AL14" s="4"/>
      <c r="AM14" s="4"/>
      <c r="AN14" s="4"/>
      <c r="AO14" s="26" t="s">
        <v>102</v>
      </c>
      <c r="AP14" s="26"/>
      <c r="AQ14" s="26"/>
      <c r="AR14" s="26">
        <v>2</v>
      </c>
      <c r="AS14" s="27"/>
      <c r="AT14" s="28"/>
      <c r="AU14" s="28"/>
    </row>
    <row r="15" s="1" customFormat="1" spans="1:47">
      <c r="A15" s="1" t="s">
        <v>113</v>
      </c>
      <c r="B15" s="1" t="s">
        <v>114</v>
      </c>
      <c r="C15" s="1">
        <v>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>
        <v>4</v>
      </c>
      <c r="AH15" s="4">
        <v>4</v>
      </c>
      <c r="AI15" s="4"/>
      <c r="AJ15" s="4"/>
      <c r="AK15" s="4"/>
      <c r="AL15" s="4"/>
      <c r="AM15" s="4"/>
      <c r="AN15" s="4"/>
      <c r="AO15" s="26" t="s">
        <v>102</v>
      </c>
      <c r="AP15" s="26"/>
      <c r="AQ15" s="26"/>
      <c r="AR15" s="26">
        <v>2</v>
      </c>
      <c r="AS15" s="27"/>
      <c r="AT15" s="28"/>
      <c r="AU15" s="28"/>
    </row>
    <row r="16" s="1" customFormat="1" spans="1:47">
      <c r="A16" s="1" t="s">
        <v>115</v>
      </c>
      <c r="B16" s="1" t="s">
        <v>116</v>
      </c>
      <c r="C16" s="1">
        <v>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>
        <v>4</v>
      </c>
      <c r="AH16" s="4">
        <v>4</v>
      </c>
      <c r="AI16" s="4"/>
      <c r="AJ16" s="4"/>
      <c r="AK16" s="4"/>
      <c r="AL16" s="4"/>
      <c r="AM16" s="4"/>
      <c r="AN16" s="4"/>
      <c r="AO16" s="26" t="s">
        <v>102</v>
      </c>
      <c r="AP16" s="26"/>
      <c r="AQ16" s="26"/>
      <c r="AR16" s="26">
        <v>2</v>
      </c>
      <c r="AS16" s="27"/>
      <c r="AT16" s="28"/>
      <c r="AU16" s="28"/>
    </row>
    <row r="17" s="1" customFormat="1" spans="1:47">
      <c r="A17" s="1" t="s">
        <v>117</v>
      </c>
      <c r="B17" s="1" t="s">
        <v>118</v>
      </c>
      <c r="C17" s="1">
        <v>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>
        <v>4</v>
      </c>
      <c r="AH17" s="4">
        <v>4</v>
      </c>
      <c r="AI17" s="4"/>
      <c r="AJ17" s="4"/>
      <c r="AK17" s="4"/>
      <c r="AL17" s="4"/>
      <c r="AM17" s="4"/>
      <c r="AN17" s="4"/>
      <c r="AO17" s="26" t="s">
        <v>102</v>
      </c>
      <c r="AP17" s="26"/>
      <c r="AQ17" s="26"/>
      <c r="AR17" s="26">
        <v>2</v>
      </c>
      <c r="AS17" s="27"/>
      <c r="AT17" s="28"/>
      <c r="AU17" s="28"/>
    </row>
    <row r="18" s="1" customFormat="1" spans="1:47">
      <c r="A18" s="1" t="s">
        <v>119</v>
      </c>
      <c r="B18" s="1" t="s">
        <v>118</v>
      </c>
      <c r="C18" s="1">
        <v>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>
        <v>4</v>
      </c>
      <c r="AH18" s="4">
        <v>4</v>
      </c>
      <c r="AI18" s="4"/>
      <c r="AJ18" s="4"/>
      <c r="AK18" s="4"/>
      <c r="AL18" s="4"/>
      <c r="AM18" s="4"/>
      <c r="AN18" s="4"/>
      <c r="AO18" s="26" t="s">
        <v>102</v>
      </c>
      <c r="AP18" s="26"/>
      <c r="AQ18" s="26"/>
      <c r="AR18" s="26">
        <v>2</v>
      </c>
      <c r="AS18" s="27"/>
      <c r="AT18" s="28"/>
      <c r="AU18" s="28"/>
    </row>
    <row r="19" s="1" customFormat="1" spans="1:47">
      <c r="A19" s="1" t="s">
        <v>120</v>
      </c>
      <c r="B19" s="1" t="s">
        <v>101</v>
      </c>
      <c r="C19" s="1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>
        <v>4</v>
      </c>
      <c r="AH19" s="4">
        <v>8</v>
      </c>
      <c r="AI19" s="4"/>
      <c r="AJ19" s="4"/>
      <c r="AK19" s="4"/>
      <c r="AL19" s="4"/>
      <c r="AM19" s="4"/>
      <c r="AN19" s="4"/>
      <c r="AO19" s="26" t="s">
        <v>102</v>
      </c>
      <c r="AP19" s="26"/>
      <c r="AQ19" s="26"/>
      <c r="AR19" s="26">
        <v>3</v>
      </c>
      <c r="AS19" s="27"/>
      <c r="AT19" s="28"/>
      <c r="AU19" s="28"/>
    </row>
    <row r="20" s="1" customFormat="1" spans="1:47">
      <c r="A20" s="1" t="s">
        <v>121</v>
      </c>
      <c r="B20" s="1" t="s">
        <v>101</v>
      </c>
      <c r="C20" s="1">
        <v>12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>
        <v>4</v>
      </c>
      <c r="AH20" s="4">
        <v>8</v>
      </c>
      <c r="AI20" s="4"/>
      <c r="AJ20" s="4"/>
      <c r="AK20" s="4"/>
      <c r="AL20" s="4"/>
      <c r="AM20" s="4"/>
      <c r="AN20" s="4"/>
      <c r="AO20" s="26" t="s">
        <v>102</v>
      </c>
      <c r="AP20" s="26"/>
      <c r="AQ20" s="26"/>
      <c r="AR20" s="26">
        <v>3</v>
      </c>
      <c r="AS20" s="27"/>
      <c r="AT20" s="28" t="s">
        <v>102</v>
      </c>
      <c r="AU20" s="28">
        <v>1</v>
      </c>
    </row>
    <row r="21" s="1" customFormat="1" spans="1:47">
      <c r="A21" s="1" t="s">
        <v>122</v>
      </c>
      <c r="B21" s="1" t="s">
        <v>101</v>
      </c>
      <c r="C21" s="1">
        <v>12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>
        <v>4</v>
      </c>
      <c r="AH21" s="4">
        <v>8</v>
      </c>
      <c r="AI21" s="4"/>
      <c r="AJ21" s="4"/>
      <c r="AK21" s="4"/>
      <c r="AL21" s="4"/>
      <c r="AM21" s="4"/>
      <c r="AN21" s="4"/>
      <c r="AO21" s="26" t="s">
        <v>102</v>
      </c>
      <c r="AP21" s="26"/>
      <c r="AQ21" s="26"/>
      <c r="AR21" s="26">
        <v>3</v>
      </c>
      <c r="AS21" s="27"/>
      <c r="AT21" s="28"/>
      <c r="AU21" s="28"/>
    </row>
    <row r="22" s="1" customFormat="1" spans="1:47">
      <c r="A22" s="1" t="s">
        <v>123</v>
      </c>
      <c r="B22" s="1" t="s">
        <v>101</v>
      </c>
      <c r="C22" s="1">
        <v>12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>
        <v>4</v>
      </c>
      <c r="AH22" s="4">
        <v>8</v>
      </c>
      <c r="AI22" s="4"/>
      <c r="AJ22" s="4"/>
      <c r="AK22" s="4"/>
      <c r="AL22" s="4"/>
      <c r="AM22" s="4"/>
      <c r="AN22" s="4"/>
      <c r="AO22" s="26" t="s">
        <v>102</v>
      </c>
      <c r="AP22" s="26"/>
      <c r="AQ22" s="26"/>
      <c r="AR22" s="26">
        <v>3</v>
      </c>
      <c r="AS22" s="27"/>
      <c r="AT22" s="28"/>
      <c r="AU22" s="28"/>
    </row>
    <row r="23" s="1" customFormat="1" spans="1:47">
      <c r="A23" s="1" t="s">
        <v>124</v>
      </c>
      <c r="B23" s="1" t="s">
        <v>101</v>
      </c>
      <c r="C23" s="1">
        <v>12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>
        <v>4</v>
      </c>
      <c r="AH23" s="4">
        <v>8</v>
      </c>
      <c r="AI23" s="4"/>
      <c r="AJ23" s="4"/>
      <c r="AK23" s="4"/>
      <c r="AL23" s="4"/>
      <c r="AM23" s="4"/>
      <c r="AN23" s="4"/>
      <c r="AO23" s="26" t="s">
        <v>102</v>
      </c>
      <c r="AP23" s="26"/>
      <c r="AQ23" s="26"/>
      <c r="AR23" s="26">
        <v>3</v>
      </c>
      <c r="AS23" s="27"/>
      <c r="AT23" s="28"/>
      <c r="AU23" s="28"/>
    </row>
    <row r="24" s="1" customFormat="1" spans="1:47">
      <c r="A24" s="1" t="s">
        <v>125</v>
      </c>
      <c r="B24" s="1" t="s">
        <v>101</v>
      </c>
      <c r="C24" s="1">
        <v>12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>
        <v>4</v>
      </c>
      <c r="AH24" s="4">
        <v>8</v>
      </c>
      <c r="AI24" s="4"/>
      <c r="AJ24" s="4"/>
      <c r="AK24" s="4"/>
      <c r="AL24" s="4"/>
      <c r="AM24" s="4"/>
      <c r="AN24" s="4"/>
      <c r="AO24" s="26" t="s">
        <v>102</v>
      </c>
      <c r="AP24" s="26"/>
      <c r="AQ24" s="26"/>
      <c r="AR24" s="26">
        <v>3</v>
      </c>
      <c r="AS24" s="27"/>
      <c r="AT24" s="28" t="s">
        <v>103</v>
      </c>
      <c r="AU24" s="28">
        <v>1</v>
      </c>
    </row>
    <row r="25" s="1" customFormat="1" spans="1:47">
      <c r="A25" s="1" t="s">
        <v>126</v>
      </c>
      <c r="B25" s="1" t="s">
        <v>101</v>
      </c>
      <c r="C25" s="1">
        <v>12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>
        <v>4</v>
      </c>
      <c r="AH25" s="4">
        <v>8</v>
      </c>
      <c r="AI25" s="4"/>
      <c r="AJ25" s="4"/>
      <c r="AK25" s="4"/>
      <c r="AL25" s="4"/>
      <c r="AM25" s="4"/>
      <c r="AN25" s="4"/>
      <c r="AO25" s="26" t="s">
        <v>102</v>
      </c>
      <c r="AP25" s="26"/>
      <c r="AQ25" s="26"/>
      <c r="AR25" s="26">
        <v>3</v>
      </c>
      <c r="AS25" s="27"/>
      <c r="AT25" s="28"/>
      <c r="AU25" s="28"/>
    </row>
    <row r="26" s="1" customFormat="1" spans="1:47">
      <c r="A26" s="1" t="s">
        <v>127</v>
      </c>
      <c r="B26" s="1" t="s">
        <v>101</v>
      </c>
      <c r="C26" s="1">
        <v>12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>
        <v>4</v>
      </c>
      <c r="AH26" s="4">
        <v>8</v>
      </c>
      <c r="AI26" s="4"/>
      <c r="AJ26" s="4"/>
      <c r="AK26" s="4"/>
      <c r="AL26" s="4"/>
      <c r="AM26" s="4"/>
      <c r="AN26" s="4"/>
      <c r="AO26" s="26" t="s">
        <v>102</v>
      </c>
      <c r="AP26" s="26"/>
      <c r="AQ26" s="26"/>
      <c r="AR26" s="26">
        <v>3</v>
      </c>
      <c r="AS26" s="27"/>
      <c r="AT26" s="28" t="s">
        <v>102</v>
      </c>
      <c r="AU26" s="28">
        <v>1</v>
      </c>
    </row>
    <row r="27" s="1" customFormat="1" spans="1:47">
      <c r="A27" s="1" t="s">
        <v>128</v>
      </c>
      <c r="B27" s="1" t="s">
        <v>101</v>
      </c>
      <c r="C27" s="1">
        <v>12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>
        <v>4</v>
      </c>
      <c r="AH27" s="4">
        <v>8</v>
      </c>
      <c r="AI27" s="4"/>
      <c r="AJ27" s="4"/>
      <c r="AK27" s="4"/>
      <c r="AL27" s="4"/>
      <c r="AM27" s="4"/>
      <c r="AN27" s="4"/>
      <c r="AO27" s="26" t="s">
        <v>102</v>
      </c>
      <c r="AP27" s="26"/>
      <c r="AQ27" s="26"/>
      <c r="AR27" s="26">
        <v>3</v>
      </c>
      <c r="AS27" s="27"/>
      <c r="AT27" s="28"/>
      <c r="AU27" s="28"/>
    </row>
    <row r="28" s="1" customFormat="1" spans="1:47">
      <c r="A28" s="1" t="s">
        <v>129</v>
      </c>
      <c r="B28" s="1" t="s">
        <v>101</v>
      </c>
      <c r="C28" s="1">
        <v>12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>
        <v>4</v>
      </c>
      <c r="AH28" s="4">
        <v>8</v>
      </c>
      <c r="AI28" s="4"/>
      <c r="AJ28" s="4"/>
      <c r="AK28" s="4"/>
      <c r="AL28" s="4"/>
      <c r="AM28" s="4"/>
      <c r="AN28" s="4"/>
      <c r="AO28" s="26" t="s">
        <v>102</v>
      </c>
      <c r="AP28" s="26"/>
      <c r="AQ28" s="26"/>
      <c r="AR28" s="26">
        <v>3</v>
      </c>
      <c r="AS28" s="27"/>
      <c r="AT28" s="28"/>
      <c r="AU28" s="28"/>
    </row>
    <row r="29" s="1" customFormat="1" spans="1:47">
      <c r="A29" s="1" t="s">
        <v>130</v>
      </c>
      <c r="B29" s="1" t="s">
        <v>101</v>
      </c>
      <c r="C29" s="1">
        <v>12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>
        <v>4</v>
      </c>
      <c r="AH29" s="4">
        <v>8</v>
      </c>
      <c r="AI29" s="4"/>
      <c r="AJ29" s="4"/>
      <c r="AK29" s="4"/>
      <c r="AL29" s="4"/>
      <c r="AM29" s="4"/>
      <c r="AN29" s="4"/>
      <c r="AO29" s="26" t="s">
        <v>102</v>
      </c>
      <c r="AP29" s="26"/>
      <c r="AQ29" s="26"/>
      <c r="AR29" s="26">
        <v>3</v>
      </c>
      <c r="AS29" s="27"/>
      <c r="AT29" s="28"/>
      <c r="AU29" s="28"/>
    </row>
    <row r="30" s="1" customFormat="1" spans="1:47">
      <c r="A30" s="1" t="s">
        <v>131</v>
      </c>
      <c r="B30" s="1" t="s">
        <v>101</v>
      </c>
      <c r="C30" s="1">
        <v>12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>
        <v>4</v>
      </c>
      <c r="AH30" s="4">
        <v>8</v>
      </c>
      <c r="AI30" s="4"/>
      <c r="AJ30" s="4"/>
      <c r="AK30" s="4"/>
      <c r="AL30" s="4"/>
      <c r="AM30" s="4"/>
      <c r="AN30" s="4"/>
      <c r="AO30" s="26" t="s">
        <v>102</v>
      </c>
      <c r="AP30" s="26"/>
      <c r="AQ30" s="26"/>
      <c r="AR30" s="26">
        <v>3</v>
      </c>
      <c r="AS30" s="27"/>
      <c r="AT30" s="28" t="s">
        <v>102</v>
      </c>
      <c r="AU30" s="28">
        <v>1</v>
      </c>
    </row>
    <row r="31" s="1" customFormat="1" spans="1:47">
      <c r="A31" s="1" t="s">
        <v>132</v>
      </c>
      <c r="B31" s="1" t="s">
        <v>101</v>
      </c>
      <c r="C31" s="1">
        <v>12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>
        <v>4</v>
      </c>
      <c r="AH31" s="4">
        <v>8</v>
      </c>
      <c r="AI31" s="4"/>
      <c r="AJ31" s="4"/>
      <c r="AK31" s="4"/>
      <c r="AL31" s="4"/>
      <c r="AM31" s="4"/>
      <c r="AN31" s="4"/>
      <c r="AO31" s="26" t="s">
        <v>102</v>
      </c>
      <c r="AP31" s="26"/>
      <c r="AQ31" s="26"/>
      <c r="AR31" s="26">
        <v>3</v>
      </c>
      <c r="AS31" s="27"/>
      <c r="AT31" s="28"/>
      <c r="AU31" s="28"/>
    </row>
    <row r="32" s="1" customFormat="1" spans="1:47">
      <c r="A32" s="1" t="s">
        <v>133</v>
      </c>
      <c r="B32" s="1" t="s">
        <v>101</v>
      </c>
      <c r="C32" s="1">
        <v>12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>
        <v>4</v>
      </c>
      <c r="AH32" s="4">
        <v>8</v>
      </c>
      <c r="AI32" s="4"/>
      <c r="AJ32" s="4"/>
      <c r="AK32" s="4"/>
      <c r="AL32" s="4"/>
      <c r="AM32" s="4"/>
      <c r="AN32" s="4"/>
      <c r="AO32" s="26" t="s">
        <v>102</v>
      </c>
      <c r="AP32" s="26"/>
      <c r="AQ32" s="26"/>
      <c r="AR32" s="26">
        <v>3</v>
      </c>
      <c r="AS32" s="27"/>
      <c r="AT32" s="28"/>
      <c r="AU32" s="28"/>
    </row>
    <row r="33" s="10" customFormat="1" ht="14.4" customHeight="1" spans="1:47">
      <c r="A33" s="10" t="s">
        <v>134</v>
      </c>
      <c r="B33" s="10" t="s">
        <v>106</v>
      </c>
      <c r="C33" s="10">
        <v>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>
        <v>4</v>
      </c>
      <c r="AH33" s="4">
        <v>4</v>
      </c>
      <c r="AI33" s="4"/>
      <c r="AJ33" s="4"/>
      <c r="AK33" s="4"/>
      <c r="AL33" s="4"/>
      <c r="AM33" s="4"/>
      <c r="AN33" s="4"/>
      <c r="AO33" s="26" t="s">
        <v>102</v>
      </c>
      <c r="AP33" s="26"/>
      <c r="AQ33" s="26"/>
      <c r="AR33" s="26">
        <v>2</v>
      </c>
      <c r="AS33" s="27"/>
      <c r="AT33" s="28"/>
      <c r="AU33" s="28"/>
    </row>
    <row r="34" s="1" customFormat="1" spans="1:47">
      <c r="A34" s="1" t="s">
        <v>135</v>
      </c>
      <c r="B34" s="1" t="s">
        <v>114</v>
      </c>
      <c r="C34" s="1">
        <v>8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>
        <v>4</v>
      </c>
      <c r="AH34" s="4">
        <v>4</v>
      </c>
      <c r="AI34" s="4"/>
      <c r="AJ34" s="4"/>
      <c r="AK34" s="4"/>
      <c r="AL34" s="4"/>
      <c r="AM34" s="4"/>
      <c r="AN34" s="4"/>
      <c r="AO34" s="26" t="s">
        <v>102</v>
      </c>
      <c r="AP34" s="26"/>
      <c r="AQ34" s="26"/>
      <c r="AR34" s="26">
        <v>2</v>
      </c>
      <c r="AS34" s="27"/>
      <c r="AT34" s="28"/>
      <c r="AU34" s="28"/>
    </row>
    <row r="35" s="1" customFormat="1" spans="1:47">
      <c r="A35" s="1" t="s">
        <v>136</v>
      </c>
      <c r="B35" s="1" t="s">
        <v>116</v>
      </c>
      <c r="C35" s="1">
        <v>8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>
        <v>4</v>
      </c>
      <c r="AH35" s="4">
        <v>4</v>
      </c>
      <c r="AI35" s="4"/>
      <c r="AJ35" s="4"/>
      <c r="AK35" s="4"/>
      <c r="AL35" s="4"/>
      <c r="AM35" s="4"/>
      <c r="AN35" s="4"/>
      <c r="AO35" s="26" t="s">
        <v>102</v>
      </c>
      <c r="AP35" s="26"/>
      <c r="AQ35" s="26"/>
      <c r="AR35" s="26">
        <v>2</v>
      </c>
      <c r="AS35" s="27"/>
      <c r="AT35" s="28" t="s">
        <v>102</v>
      </c>
      <c r="AU35" s="28">
        <v>1</v>
      </c>
    </row>
    <row r="36" s="1" customFormat="1" spans="1:47">
      <c r="A36" s="1" t="s">
        <v>137</v>
      </c>
      <c r="B36" s="1" t="s">
        <v>118</v>
      </c>
      <c r="C36" s="1">
        <v>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>
        <v>4</v>
      </c>
      <c r="AH36" s="4">
        <v>4</v>
      </c>
      <c r="AI36" s="4"/>
      <c r="AJ36" s="4"/>
      <c r="AK36" s="4"/>
      <c r="AL36" s="4"/>
      <c r="AM36" s="4"/>
      <c r="AN36" s="4"/>
      <c r="AO36" s="26" t="s">
        <v>102</v>
      </c>
      <c r="AP36" s="26"/>
      <c r="AQ36" s="26"/>
      <c r="AR36" s="26">
        <v>2</v>
      </c>
      <c r="AS36" s="27"/>
      <c r="AT36" s="28"/>
      <c r="AU36" s="28"/>
    </row>
    <row r="37" s="1" customFormat="1" spans="1:47">
      <c r="A37" s="1" t="s">
        <v>138</v>
      </c>
      <c r="B37" s="1" t="s">
        <v>101</v>
      </c>
      <c r="C37" s="1">
        <v>12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>
        <v>4</v>
      </c>
      <c r="AH37" s="4">
        <v>8</v>
      </c>
      <c r="AI37" s="4"/>
      <c r="AJ37" s="4"/>
      <c r="AK37" s="4"/>
      <c r="AL37" s="4"/>
      <c r="AM37" s="4"/>
      <c r="AN37" s="4"/>
      <c r="AO37" s="26" t="s">
        <v>102</v>
      </c>
      <c r="AP37" s="26"/>
      <c r="AQ37" s="26"/>
      <c r="AR37" s="26">
        <v>3</v>
      </c>
      <c r="AS37" s="27"/>
      <c r="AT37" s="28"/>
      <c r="AU37" s="28"/>
    </row>
    <row r="38" s="1" customFormat="1" spans="1:47">
      <c r="A38" s="1" t="s">
        <v>139</v>
      </c>
      <c r="B38" s="1" t="s">
        <v>101</v>
      </c>
      <c r="C38" s="1">
        <v>12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>
        <v>4</v>
      </c>
      <c r="AH38" s="4">
        <v>8</v>
      </c>
      <c r="AI38" s="4"/>
      <c r="AJ38" s="4"/>
      <c r="AK38" s="4"/>
      <c r="AL38" s="4"/>
      <c r="AM38" s="4"/>
      <c r="AN38" s="4"/>
      <c r="AO38" s="26" t="s">
        <v>102</v>
      </c>
      <c r="AP38" s="26"/>
      <c r="AQ38" s="26"/>
      <c r="AR38" s="26">
        <v>3</v>
      </c>
      <c r="AS38" s="27"/>
      <c r="AT38" s="28"/>
      <c r="AU38" s="28"/>
    </row>
    <row r="39" s="1" customFormat="1" spans="1:47">
      <c r="A39" s="1" t="s">
        <v>140</v>
      </c>
      <c r="B39" s="1" t="s">
        <v>101</v>
      </c>
      <c r="C39" s="1">
        <v>12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>
        <v>4</v>
      </c>
      <c r="AH39" s="4">
        <v>8</v>
      </c>
      <c r="AI39" s="4"/>
      <c r="AJ39" s="4"/>
      <c r="AK39" s="4"/>
      <c r="AL39" s="4"/>
      <c r="AM39" s="4"/>
      <c r="AN39" s="4"/>
      <c r="AO39" s="26" t="s">
        <v>102</v>
      </c>
      <c r="AP39" s="26"/>
      <c r="AQ39" s="26"/>
      <c r="AR39" s="26">
        <v>3</v>
      </c>
      <c r="AS39" s="27"/>
      <c r="AT39" s="28"/>
      <c r="AU39" s="28"/>
    </row>
    <row r="40" s="1" customFormat="1" spans="1:47">
      <c r="A40" s="1" t="s">
        <v>141</v>
      </c>
      <c r="B40" s="1" t="s">
        <v>101</v>
      </c>
      <c r="C40" s="1">
        <v>12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>
        <v>4</v>
      </c>
      <c r="AH40" s="4">
        <v>8</v>
      </c>
      <c r="AI40" s="4"/>
      <c r="AJ40" s="4"/>
      <c r="AK40" s="4"/>
      <c r="AL40" s="4"/>
      <c r="AM40" s="4"/>
      <c r="AN40" s="4"/>
      <c r="AO40" s="26" t="s">
        <v>102</v>
      </c>
      <c r="AP40" s="26"/>
      <c r="AQ40" s="26"/>
      <c r="AR40" s="26">
        <v>3</v>
      </c>
      <c r="AS40" s="27"/>
      <c r="AT40" s="28" t="s">
        <v>102</v>
      </c>
      <c r="AU40" s="28">
        <v>1</v>
      </c>
    </row>
    <row r="41" s="1" customFormat="1" spans="1:47">
      <c r="A41" s="1" t="s">
        <v>142</v>
      </c>
      <c r="B41" s="1" t="s">
        <v>101</v>
      </c>
      <c r="C41" s="1">
        <v>12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>
        <v>4</v>
      </c>
      <c r="AH41" s="4">
        <v>8</v>
      </c>
      <c r="AI41" s="4"/>
      <c r="AJ41" s="4"/>
      <c r="AK41" s="4"/>
      <c r="AL41" s="4"/>
      <c r="AM41" s="4"/>
      <c r="AN41" s="4"/>
      <c r="AO41" s="26" t="s">
        <v>102</v>
      </c>
      <c r="AP41" s="26"/>
      <c r="AQ41" s="26"/>
      <c r="AR41" s="26">
        <v>3</v>
      </c>
      <c r="AS41" s="27"/>
      <c r="AT41" s="28"/>
      <c r="AU41" s="28"/>
    </row>
    <row r="42" s="1" customFormat="1" spans="1:47">
      <c r="A42" s="1" t="s">
        <v>143</v>
      </c>
      <c r="B42" s="1" t="s">
        <v>101</v>
      </c>
      <c r="C42" s="1">
        <v>12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>
        <v>4</v>
      </c>
      <c r="AH42" s="4">
        <v>8</v>
      </c>
      <c r="AI42" s="4"/>
      <c r="AJ42" s="4"/>
      <c r="AK42" s="4"/>
      <c r="AL42" s="4"/>
      <c r="AM42" s="4"/>
      <c r="AN42" s="4"/>
      <c r="AO42" s="26" t="s">
        <v>102</v>
      </c>
      <c r="AP42" s="26"/>
      <c r="AQ42" s="26"/>
      <c r="AR42" s="26">
        <v>3</v>
      </c>
      <c r="AS42" s="27"/>
      <c r="AT42" s="28"/>
      <c r="AU42" s="28"/>
    </row>
    <row r="43" s="1" customFormat="1" spans="1:47">
      <c r="A43" s="1" t="s">
        <v>144</v>
      </c>
      <c r="B43" s="1" t="s">
        <v>145</v>
      </c>
      <c r="C43" s="1">
        <v>4</v>
      </c>
      <c r="D43" s="4"/>
      <c r="E43" s="4">
        <v>1</v>
      </c>
      <c r="F43" s="4"/>
      <c r="G43" s="4">
        <v>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>
        <v>1</v>
      </c>
      <c r="AH43" s="4">
        <v>2</v>
      </c>
      <c r="AI43" s="4">
        <v>1</v>
      </c>
      <c r="AJ43" s="4"/>
      <c r="AK43" s="4"/>
      <c r="AL43" s="4"/>
      <c r="AM43" s="4"/>
      <c r="AN43" s="4"/>
      <c r="AO43" s="29" t="s">
        <v>103</v>
      </c>
      <c r="AP43" s="29"/>
      <c r="AQ43" s="29"/>
      <c r="AR43" s="29">
        <v>1</v>
      </c>
      <c r="AS43" s="30"/>
      <c r="AT43" s="28"/>
      <c r="AU43" s="28"/>
    </row>
    <row r="44" s="1" customFormat="1" spans="1:47">
      <c r="A44" s="1" t="s">
        <v>146</v>
      </c>
      <c r="B44" s="1" t="s">
        <v>147</v>
      </c>
      <c r="C44" s="1">
        <v>7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>
        <v>1</v>
      </c>
      <c r="AH44" s="4">
        <v>2</v>
      </c>
      <c r="AI44" s="4">
        <v>2</v>
      </c>
      <c r="AJ44" s="4">
        <v>2</v>
      </c>
      <c r="AK44" s="4"/>
      <c r="AL44" s="4"/>
      <c r="AM44" s="4"/>
      <c r="AN44" s="4"/>
      <c r="AO44" s="26" t="s">
        <v>102</v>
      </c>
      <c r="AP44" s="26"/>
      <c r="AQ44" s="26"/>
      <c r="AR44" s="26">
        <v>1</v>
      </c>
      <c r="AS44" s="27"/>
      <c r="AT44" s="28"/>
      <c r="AU44" s="28"/>
    </row>
    <row r="45" s="1" customFormat="1" spans="1:47">
      <c r="A45" s="1" t="s">
        <v>148</v>
      </c>
      <c r="B45" s="1" t="s">
        <v>149</v>
      </c>
      <c r="C45" s="1">
        <v>10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>
        <v>2</v>
      </c>
      <c r="AH45" s="4">
        <v>4</v>
      </c>
      <c r="AI45" s="4">
        <v>4</v>
      </c>
      <c r="AJ45" s="4"/>
      <c r="AK45" s="4"/>
      <c r="AL45" s="4"/>
      <c r="AM45" s="4"/>
      <c r="AN45" s="4"/>
      <c r="AO45" s="26" t="s">
        <v>102</v>
      </c>
      <c r="AP45" s="26"/>
      <c r="AQ45" s="26"/>
      <c r="AR45" s="26">
        <v>2</v>
      </c>
      <c r="AS45" s="27"/>
      <c r="AT45" s="28" t="s">
        <v>102</v>
      </c>
      <c r="AU45" s="28">
        <v>1</v>
      </c>
    </row>
    <row r="46" s="1" customFormat="1" spans="1:47">
      <c r="A46" s="1" t="s">
        <v>150</v>
      </c>
      <c r="B46" s="1" t="s">
        <v>151</v>
      </c>
      <c r="C46" s="1">
        <v>4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>
        <v>2</v>
      </c>
      <c r="AH46" s="4">
        <v>2</v>
      </c>
      <c r="AI46" s="4"/>
      <c r="AJ46" s="4"/>
      <c r="AK46" s="4"/>
      <c r="AL46" s="4"/>
      <c r="AM46" s="4"/>
      <c r="AN46" s="4"/>
      <c r="AO46" s="26" t="s">
        <v>102</v>
      </c>
      <c r="AP46" s="26"/>
      <c r="AQ46" s="26"/>
      <c r="AR46" s="26">
        <v>1</v>
      </c>
      <c r="AS46" s="27"/>
      <c r="AT46" s="28"/>
      <c r="AU46" s="28"/>
    </row>
    <row r="47" s="1" customFormat="1" spans="1:47">
      <c r="A47" s="1" t="s">
        <v>152</v>
      </c>
      <c r="B47" s="1" t="s">
        <v>153</v>
      </c>
      <c r="C47" s="1">
        <v>12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>
        <v>3</v>
      </c>
      <c r="AH47" s="4">
        <v>6</v>
      </c>
      <c r="AI47" s="4">
        <v>3</v>
      </c>
      <c r="AJ47" s="4"/>
      <c r="AK47" s="4"/>
      <c r="AL47" s="4"/>
      <c r="AM47" s="4"/>
      <c r="AN47" s="4"/>
      <c r="AO47" s="26" t="s">
        <v>102</v>
      </c>
      <c r="AP47" s="26"/>
      <c r="AQ47" s="26"/>
      <c r="AR47" s="26">
        <v>4</v>
      </c>
      <c r="AS47" s="27"/>
      <c r="AT47" s="28"/>
      <c r="AU47" s="28"/>
    </row>
    <row r="48" s="1" customFormat="1" spans="1:47">
      <c r="A48" s="1" t="s">
        <v>154</v>
      </c>
      <c r="B48" s="1" t="s">
        <v>153</v>
      </c>
      <c r="C48" s="1">
        <v>12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>
        <v>3</v>
      </c>
      <c r="AH48" s="4">
        <v>6</v>
      </c>
      <c r="AI48" s="4">
        <v>3</v>
      </c>
      <c r="AJ48" s="4"/>
      <c r="AK48" s="4"/>
      <c r="AL48" s="4"/>
      <c r="AM48" s="4"/>
      <c r="AN48" s="4"/>
      <c r="AO48" s="26" t="s">
        <v>102</v>
      </c>
      <c r="AP48" s="26"/>
      <c r="AQ48" s="26"/>
      <c r="AR48" s="26">
        <v>4</v>
      </c>
      <c r="AS48" s="27"/>
      <c r="AT48" s="28"/>
      <c r="AU48" s="28"/>
    </row>
    <row r="49" s="1" customFormat="1" spans="1:47">
      <c r="A49" s="1" t="s">
        <v>155</v>
      </c>
      <c r="B49" s="1" t="s">
        <v>153</v>
      </c>
      <c r="C49" s="1">
        <v>12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>
        <v>3</v>
      </c>
      <c r="AH49" s="4">
        <v>6</v>
      </c>
      <c r="AI49" s="4">
        <v>3</v>
      </c>
      <c r="AJ49" s="4"/>
      <c r="AK49" s="4"/>
      <c r="AL49" s="4"/>
      <c r="AM49" s="4"/>
      <c r="AN49" s="4"/>
      <c r="AO49" s="26" t="s">
        <v>102</v>
      </c>
      <c r="AP49" s="26"/>
      <c r="AQ49" s="26"/>
      <c r="AR49" s="26">
        <v>4</v>
      </c>
      <c r="AS49" s="27"/>
      <c r="AT49" s="28" t="s">
        <v>102</v>
      </c>
      <c r="AU49" s="28">
        <v>1</v>
      </c>
    </row>
    <row r="50" s="1" customFormat="1" spans="1:47">
      <c r="A50" s="1" t="s">
        <v>156</v>
      </c>
      <c r="B50" s="1" t="s">
        <v>153</v>
      </c>
      <c r="C50" s="1">
        <v>12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>
        <v>3</v>
      </c>
      <c r="AH50" s="4">
        <v>6</v>
      </c>
      <c r="AI50" s="4">
        <v>3</v>
      </c>
      <c r="AJ50" s="4"/>
      <c r="AK50" s="4"/>
      <c r="AL50" s="4"/>
      <c r="AM50" s="4"/>
      <c r="AN50" s="4"/>
      <c r="AO50" s="26" t="s">
        <v>102</v>
      </c>
      <c r="AP50" s="26"/>
      <c r="AQ50" s="26"/>
      <c r="AR50" s="26">
        <v>4</v>
      </c>
      <c r="AS50" s="27"/>
      <c r="AT50" s="28"/>
      <c r="AU50" s="28"/>
    </row>
    <row r="51" s="1" customFormat="1" spans="1:47">
      <c r="A51" s="1" t="s">
        <v>157</v>
      </c>
      <c r="B51" s="1" t="s">
        <v>153</v>
      </c>
      <c r="C51" s="1">
        <v>12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>
        <v>3</v>
      </c>
      <c r="AH51" s="4">
        <v>6</v>
      </c>
      <c r="AI51" s="4">
        <v>3</v>
      </c>
      <c r="AJ51" s="4"/>
      <c r="AK51" s="4"/>
      <c r="AL51" s="4"/>
      <c r="AM51" s="4"/>
      <c r="AN51" s="4"/>
      <c r="AO51" s="26" t="s">
        <v>102</v>
      </c>
      <c r="AP51" s="26"/>
      <c r="AQ51" s="26"/>
      <c r="AR51" s="26">
        <v>4</v>
      </c>
      <c r="AS51" s="27"/>
      <c r="AT51" s="28"/>
      <c r="AU51" s="28"/>
    </row>
    <row r="52" s="1" customFormat="1" spans="1:47">
      <c r="A52" s="1" t="s">
        <v>158</v>
      </c>
      <c r="B52" s="1" t="s">
        <v>159</v>
      </c>
      <c r="C52" s="1">
        <v>9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>
        <v>3</v>
      </c>
      <c r="AH52" s="4">
        <v>6</v>
      </c>
      <c r="AI52" s="4"/>
      <c r="AJ52" s="4"/>
      <c r="AK52" s="4"/>
      <c r="AL52" s="4"/>
      <c r="AM52" s="4"/>
      <c r="AN52" s="4"/>
      <c r="AO52" s="26" t="s">
        <v>102</v>
      </c>
      <c r="AP52" s="26"/>
      <c r="AQ52" s="26"/>
      <c r="AR52" s="26">
        <v>3</v>
      </c>
      <c r="AS52" s="27"/>
      <c r="AT52" s="28"/>
      <c r="AU52" s="28"/>
    </row>
    <row r="53" s="1" customFormat="1" spans="1:47">
      <c r="A53" s="1" t="s">
        <v>160</v>
      </c>
      <c r="B53" s="1" t="s">
        <v>159</v>
      </c>
      <c r="C53" s="1">
        <v>9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>
        <v>3</v>
      </c>
      <c r="AH53" s="4">
        <v>6</v>
      </c>
      <c r="AI53" s="4"/>
      <c r="AJ53" s="4"/>
      <c r="AK53" s="4"/>
      <c r="AL53" s="4"/>
      <c r="AM53" s="4"/>
      <c r="AN53" s="4"/>
      <c r="AO53" s="26" t="s">
        <v>102</v>
      </c>
      <c r="AP53" s="26"/>
      <c r="AQ53" s="26"/>
      <c r="AR53" s="26">
        <v>3</v>
      </c>
      <c r="AS53" s="27"/>
      <c r="AT53" s="28" t="s">
        <v>103</v>
      </c>
      <c r="AU53" s="28">
        <v>1</v>
      </c>
    </row>
    <row r="54" s="1" customFormat="1" spans="1:47">
      <c r="A54" s="1" t="s">
        <v>161</v>
      </c>
      <c r="B54" s="1" t="s">
        <v>162</v>
      </c>
      <c r="C54" s="1">
        <v>6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>
        <v>3</v>
      </c>
      <c r="AH54" s="4">
        <v>3</v>
      </c>
      <c r="AI54" s="4"/>
      <c r="AJ54" s="4"/>
      <c r="AK54" s="4"/>
      <c r="AL54" s="4"/>
      <c r="AM54" s="4"/>
      <c r="AN54" s="4"/>
      <c r="AO54" s="26" t="s">
        <v>102</v>
      </c>
      <c r="AP54" s="26"/>
      <c r="AQ54" s="26"/>
      <c r="AR54" s="26">
        <v>2</v>
      </c>
      <c r="AS54" s="27"/>
      <c r="AT54" s="28"/>
      <c r="AU54" s="28"/>
    </row>
    <row r="55" s="1" customFormat="1" spans="1:47">
      <c r="A55" s="1" t="s">
        <v>163</v>
      </c>
      <c r="B55" s="1" t="s">
        <v>164</v>
      </c>
      <c r="C55" s="1">
        <v>3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>
        <v>3</v>
      </c>
      <c r="AH55" s="4"/>
      <c r="AI55" s="4"/>
      <c r="AJ55" s="4"/>
      <c r="AK55" s="4"/>
      <c r="AL55" s="4"/>
      <c r="AM55" s="4"/>
      <c r="AN55" s="4"/>
      <c r="AO55" s="26" t="s">
        <v>102</v>
      </c>
      <c r="AP55" s="26"/>
      <c r="AQ55" s="26"/>
      <c r="AR55" s="26">
        <v>1</v>
      </c>
      <c r="AS55" s="27"/>
      <c r="AT55" s="28"/>
      <c r="AU55" s="28"/>
    </row>
    <row r="56" s="1" customFormat="1" spans="1:47">
      <c r="A56" s="1" t="s">
        <v>165</v>
      </c>
      <c r="B56" s="1" t="s">
        <v>164</v>
      </c>
      <c r="C56" s="1">
        <v>3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>
        <v>3</v>
      </c>
      <c r="AH56" s="4"/>
      <c r="AI56" s="4"/>
      <c r="AJ56" s="4"/>
      <c r="AK56" s="4"/>
      <c r="AL56" s="4"/>
      <c r="AM56" s="4"/>
      <c r="AN56" s="4"/>
      <c r="AO56" s="26" t="s">
        <v>102</v>
      </c>
      <c r="AP56" s="26"/>
      <c r="AQ56" s="26"/>
      <c r="AR56" s="26">
        <v>1</v>
      </c>
      <c r="AS56" s="27"/>
      <c r="AT56" s="28"/>
      <c r="AU56" s="28"/>
    </row>
    <row r="57" s="1" customFormat="1" spans="1:47">
      <c r="A57" s="1" t="s">
        <v>166</v>
      </c>
      <c r="B57" s="1" t="s">
        <v>159</v>
      </c>
      <c r="C57" s="1">
        <v>9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>
        <v>3</v>
      </c>
      <c r="AH57" s="4">
        <v>6</v>
      </c>
      <c r="AI57" s="4"/>
      <c r="AJ57" s="4"/>
      <c r="AK57" s="4"/>
      <c r="AL57" s="4"/>
      <c r="AM57" s="4"/>
      <c r="AN57" s="4"/>
      <c r="AO57" s="26" t="s">
        <v>102</v>
      </c>
      <c r="AP57" s="26"/>
      <c r="AQ57" s="26"/>
      <c r="AR57" s="26">
        <v>3</v>
      </c>
      <c r="AS57" s="27"/>
      <c r="AT57" s="28" t="s">
        <v>102</v>
      </c>
      <c r="AU57" s="28">
        <v>1</v>
      </c>
    </row>
    <row r="58" s="1" customFormat="1" spans="1:47">
      <c r="A58" s="1" t="s">
        <v>167</v>
      </c>
      <c r="B58" s="1" t="s">
        <v>168</v>
      </c>
      <c r="C58" s="1">
        <v>12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>
        <v>3</v>
      </c>
      <c r="AH58" s="4">
        <v>6</v>
      </c>
      <c r="AI58" s="4">
        <v>3</v>
      </c>
      <c r="AJ58" s="4"/>
      <c r="AK58" s="4"/>
      <c r="AL58" s="4"/>
      <c r="AM58" s="4"/>
      <c r="AN58" s="4"/>
      <c r="AO58" s="26" t="s">
        <v>102</v>
      </c>
      <c r="AP58" s="26"/>
      <c r="AQ58" s="26"/>
      <c r="AR58" s="26">
        <v>4</v>
      </c>
      <c r="AS58" s="27"/>
      <c r="AT58" s="28"/>
      <c r="AU58" s="28"/>
    </row>
    <row r="59" s="1" customFormat="1" spans="1:47">
      <c r="A59" s="1" t="s">
        <v>169</v>
      </c>
      <c r="B59" s="1" t="s">
        <v>168</v>
      </c>
      <c r="C59" s="1">
        <v>12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>
        <v>3</v>
      </c>
      <c r="AH59" s="4">
        <v>6</v>
      </c>
      <c r="AI59" s="4">
        <v>3</v>
      </c>
      <c r="AJ59" s="4"/>
      <c r="AK59" s="4"/>
      <c r="AL59" s="4"/>
      <c r="AM59" s="4"/>
      <c r="AN59" s="4"/>
      <c r="AO59" s="26" t="s">
        <v>102</v>
      </c>
      <c r="AP59" s="26"/>
      <c r="AQ59" s="26"/>
      <c r="AR59" s="26">
        <v>4</v>
      </c>
      <c r="AS59" s="27"/>
      <c r="AT59" s="28"/>
      <c r="AU59" s="28"/>
    </row>
    <row r="60" s="1" customFormat="1" spans="1:47">
      <c r="A60" s="1" t="s">
        <v>170</v>
      </c>
      <c r="B60" s="1" t="s">
        <v>168</v>
      </c>
      <c r="C60" s="1">
        <v>12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>
        <v>3</v>
      </c>
      <c r="AH60" s="4">
        <v>6</v>
      </c>
      <c r="AI60" s="4">
        <v>3</v>
      </c>
      <c r="AJ60" s="4"/>
      <c r="AK60" s="4"/>
      <c r="AL60" s="4"/>
      <c r="AM60" s="4"/>
      <c r="AN60" s="4"/>
      <c r="AO60" s="26" t="s">
        <v>102</v>
      </c>
      <c r="AP60" s="26"/>
      <c r="AQ60" s="26"/>
      <c r="AR60" s="26">
        <v>4</v>
      </c>
      <c r="AS60" s="27"/>
      <c r="AT60" s="28"/>
      <c r="AU60" s="28"/>
    </row>
    <row r="61" s="1" customFormat="1" spans="1:47">
      <c r="A61" s="1" t="s">
        <v>171</v>
      </c>
      <c r="B61" s="1" t="s">
        <v>172</v>
      </c>
      <c r="C61" s="1">
        <v>8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>
        <v>4</v>
      </c>
      <c r="AH61" s="4">
        <v>4</v>
      </c>
      <c r="AI61" s="4"/>
      <c r="AJ61" s="4"/>
      <c r="AK61" s="4"/>
      <c r="AL61" s="4"/>
      <c r="AM61" s="4"/>
      <c r="AN61" s="4"/>
      <c r="AO61" s="26" t="s">
        <v>102</v>
      </c>
      <c r="AP61" s="26"/>
      <c r="AQ61" s="26"/>
      <c r="AR61" s="26">
        <v>2</v>
      </c>
      <c r="AS61" s="27"/>
      <c r="AT61" s="28" t="s">
        <v>102</v>
      </c>
      <c r="AU61" s="28">
        <v>1</v>
      </c>
    </row>
    <row r="62" s="1" customFormat="1" spans="1:47">
      <c r="A62" s="1" t="s">
        <v>173</v>
      </c>
      <c r="B62" s="1" t="s">
        <v>172</v>
      </c>
      <c r="C62" s="1">
        <v>8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>
        <v>4</v>
      </c>
      <c r="AH62" s="4">
        <v>4</v>
      </c>
      <c r="AI62" s="4"/>
      <c r="AJ62" s="4"/>
      <c r="AK62" s="4"/>
      <c r="AL62" s="4"/>
      <c r="AM62" s="4"/>
      <c r="AN62" s="4"/>
      <c r="AO62" s="26" t="s">
        <v>102</v>
      </c>
      <c r="AP62" s="26"/>
      <c r="AQ62" s="26"/>
      <c r="AR62" s="26">
        <v>2</v>
      </c>
      <c r="AS62" s="27"/>
      <c r="AT62" s="28"/>
      <c r="AU62" s="28"/>
    </row>
    <row r="63" s="1" customFormat="1" spans="1:47">
      <c r="A63" s="1" t="s">
        <v>174</v>
      </c>
      <c r="B63" s="1" t="s">
        <v>175</v>
      </c>
      <c r="C63" s="1">
        <v>12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>
        <v>4</v>
      </c>
      <c r="AH63" s="4">
        <v>8</v>
      </c>
      <c r="AI63" s="4"/>
      <c r="AJ63" s="4"/>
      <c r="AK63" s="4"/>
      <c r="AL63" s="4"/>
      <c r="AM63" s="4"/>
      <c r="AN63" s="4"/>
      <c r="AO63" s="26" t="s">
        <v>102</v>
      </c>
      <c r="AP63" s="26"/>
      <c r="AQ63" s="26"/>
      <c r="AR63" s="26">
        <v>3</v>
      </c>
      <c r="AS63" s="27"/>
      <c r="AT63" s="28"/>
      <c r="AU63" s="28"/>
    </row>
    <row r="64" s="1" customFormat="1" spans="1:47">
      <c r="A64" s="1" t="s">
        <v>176</v>
      </c>
      <c r="B64" s="1" t="s">
        <v>175</v>
      </c>
      <c r="C64" s="1">
        <v>12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>
        <v>4</v>
      </c>
      <c r="AH64" s="4">
        <v>8</v>
      </c>
      <c r="AI64" s="4"/>
      <c r="AJ64" s="4"/>
      <c r="AK64" s="4"/>
      <c r="AL64" s="4"/>
      <c r="AM64" s="4"/>
      <c r="AN64" s="4"/>
      <c r="AO64" s="26" t="s">
        <v>102</v>
      </c>
      <c r="AP64" s="26"/>
      <c r="AQ64" s="26"/>
      <c r="AR64" s="26">
        <v>3</v>
      </c>
      <c r="AS64" s="27"/>
      <c r="AT64" s="28"/>
      <c r="AU64" s="28"/>
    </row>
    <row r="65" s="1" customFormat="1" spans="1:47">
      <c r="A65" s="1" t="s">
        <v>177</v>
      </c>
      <c r="B65" s="1" t="s">
        <v>175</v>
      </c>
      <c r="C65" s="1">
        <v>12</v>
      </c>
      <c r="D65" s="4"/>
      <c r="E65" s="4"/>
      <c r="F65" s="4"/>
      <c r="G65" s="4"/>
      <c r="H65" s="4"/>
      <c r="I65" s="4"/>
      <c r="J65" s="4">
        <v>3</v>
      </c>
      <c r="K65" s="4"/>
      <c r="L65" s="4"/>
      <c r="M65" s="4"/>
      <c r="N65" s="4"/>
      <c r="O65" s="4"/>
      <c r="P65" s="4">
        <v>3</v>
      </c>
      <c r="Q65" s="4"/>
      <c r="R65" s="4"/>
      <c r="S65" s="4">
        <v>3</v>
      </c>
      <c r="T65" s="4"/>
      <c r="U65" s="4">
        <v>3</v>
      </c>
      <c r="V65" s="4"/>
      <c r="W65" s="4">
        <v>3</v>
      </c>
      <c r="X65" s="4"/>
      <c r="Y65" s="4"/>
      <c r="Z65" s="4">
        <v>3</v>
      </c>
      <c r="AA65" s="4"/>
      <c r="AB65" s="4"/>
      <c r="AC65" s="4"/>
      <c r="AD65" s="4"/>
      <c r="AE65" s="4"/>
      <c r="AF65" s="4">
        <v>3</v>
      </c>
      <c r="AG65" s="4">
        <v>4</v>
      </c>
      <c r="AH65" s="4">
        <v>8</v>
      </c>
      <c r="AI65" s="4"/>
      <c r="AJ65" s="4"/>
      <c r="AK65" s="4"/>
      <c r="AL65" s="4"/>
      <c r="AM65" s="4"/>
      <c r="AN65" s="4"/>
      <c r="AO65" s="29" t="s">
        <v>102</v>
      </c>
      <c r="AP65" s="29"/>
      <c r="AQ65" s="29"/>
      <c r="AR65" s="29">
        <v>3</v>
      </c>
      <c r="AS65" s="30"/>
      <c r="AT65" s="28"/>
      <c r="AU65" s="28"/>
    </row>
    <row r="66" s="1" customFormat="1" spans="1:47">
      <c r="A66" s="1" t="s">
        <v>178</v>
      </c>
      <c r="B66" s="1" t="s">
        <v>179</v>
      </c>
      <c r="C66" s="1">
        <v>12</v>
      </c>
      <c r="N66" s="1">
        <v>3</v>
      </c>
      <c r="O66" s="1">
        <v>6</v>
      </c>
      <c r="R66" s="1">
        <v>3</v>
      </c>
      <c r="W66" s="1">
        <v>3</v>
      </c>
      <c r="Z66" s="1">
        <v>3</v>
      </c>
      <c r="AE66" s="1">
        <v>3</v>
      </c>
      <c r="AG66" s="1">
        <v>4</v>
      </c>
      <c r="AH66" s="1">
        <v>8</v>
      </c>
      <c r="AO66" s="29" t="s">
        <v>102</v>
      </c>
      <c r="AP66" s="29"/>
      <c r="AQ66" s="29"/>
      <c r="AR66" s="29">
        <v>3</v>
      </c>
      <c r="AS66" s="30"/>
      <c r="AT66" s="28" t="s">
        <v>102</v>
      </c>
      <c r="AU66" s="28">
        <v>1</v>
      </c>
    </row>
    <row r="67" s="1" customFormat="1" spans="1:47">
      <c r="A67" s="1" t="s">
        <v>180</v>
      </c>
      <c r="B67" s="1" t="s">
        <v>179</v>
      </c>
      <c r="C67" s="1">
        <v>12</v>
      </c>
      <c r="N67" s="1">
        <v>3</v>
      </c>
      <c r="O67" s="1">
        <v>6</v>
      </c>
      <c r="R67" s="1">
        <v>3</v>
      </c>
      <c r="W67" s="1">
        <v>3</v>
      </c>
      <c r="Z67" s="1">
        <v>3</v>
      </c>
      <c r="AE67" s="1">
        <v>3</v>
      </c>
      <c r="AG67" s="1">
        <v>4</v>
      </c>
      <c r="AH67" s="1">
        <v>8</v>
      </c>
      <c r="AO67" s="29" t="s">
        <v>102</v>
      </c>
      <c r="AP67" s="29"/>
      <c r="AQ67" s="29"/>
      <c r="AR67" s="29">
        <v>3</v>
      </c>
      <c r="AS67" s="30"/>
      <c r="AT67" s="28"/>
      <c r="AU67" s="28"/>
    </row>
    <row r="68" s="1" customFormat="1" spans="1:47">
      <c r="A68" s="1" t="s">
        <v>181</v>
      </c>
      <c r="B68" s="1" t="s">
        <v>179</v>
      </c>
      <c r="C68" s="1">
        <v>12</v>
      </c>
      <c r="N68" s="1">
        <v>3</v>
      </c>
      <c r="O68" s="1">
        <v>6</v>
      </c>
      <c r="R68" s="1">
        <v>3</v>
      </c>
      <c r="W68" s="1">
        <v>3</v>
      </c>
      <c r="Z68" s="1">
        <v>3</v>
      </c>
      <c r="AE68" s="1">
        <v>3</v>
      </c>
      <c r="AG68" s="1">
        <v>4</v>
      </c>
      <c r="AH68" s="1">
        <v>8</v>
      </c>
      <c r="AO68" s="29" t="s">
        <v>102</v>
      </c>
      <c r="AP68" s="29"/>
      <c r="AQ68" s="29"/>
      <c r="AR68" s="29">
        <v>3</v>
      </c>
      <c r="AS68" s="30"/>
      <c r="AT68" s="28"/>
      <c r="AU68" s="28"/>
    </row>
    <row r="69" s="1" customFormat="1" spans="1:47">
      <c r="A69" s="1" t="s">
        <v>182</v>
      </c>
      <c r="B69" s="1" t="s">
        <v>183</v>
      </c>
      <c r="C69" s="1">
        <v>8</v>
      </c>
      <c r="AG69" s="1">
        <v>4</v>
      </c>
      <c r="AH69" s="1">
        <v>4</v>
      </c>
      <c r="AO69" s="26" t="s">
        <v>102</v>
      </c>
      <c r="AP69" s="26"/>
      <c r="AQ69" s="26"/>
      <c r="AR69" s="26">
        <v>2</v>
      </c>
      <c r="AS69" s="27"/>
      <c r="AT69" s="28"/>
      <c r="AU69" s="28"/>
    </row>
    <row r="70" s="1" customFormat="1" spans="1:47">
      <c r="A70" s="1" t="s">
        <v>184</v>
      </c>
      <c r="B70" s="1" t="s">
        <v>183</v>
      </c>
      <c r="C70" s="1">
        <v>8</v>
      </c>
      <c r="N70" s="1">
        <v>2</v>
      </c>
      <c r="O70" s="1">
        <v>4</v>
      </c>
      <c r="S70" s="1">
        <v>2</v>
      </c>
      <c r="W70" s="1">
        <v>2</v>
      </c>
      <c r="Z70" s="1">
        <v>2</v>
      </c>
      <c r="AE70" s="1">
        <v>2</v>
      </c>
      <c r="AG70" s="1">
        <v>4</v>
      </c>
      <c r="AH70" s="1">
        <v>4</v>
      </c>
      <c r="AO70" s="29" t="s">
        <v>102</v>
      </c>
      <c r="AP70" s="29"/>
      <c r="AQ70" s="29"/>
      <c r="AR70" s="29">
        <v>2</v>
      </c>
      <c r="AS70" s="30"/>
      <c r="AT70" s="28" t="s">
        <v>102</v>
      </c>
      <c r="AU70" s="28">
        <v>1</v>
      </c>
    </row>
    <row r="71" s="1" customFormat="1" spans="1:47">
      <c r="A71" s="1" t="s">
        <v>185</v>
      </c>
      <c r="B71" s="1" t="s">
        <v>183</v>
      </c>
      <c r="C71" s="1">
        <v>8</v>
      </c>
      <c r="N71" s="1">
        <v>2</v>
      </c>
      <c r="O71" s="1">
        <v>4</v>
      </c>
      <c r="S71" s="1">
        <v>2</v>
      </c>
      <c r="W71" s="1">
        <v>2</v>
      </c>
      <c r="Z71" s="1">
        <v>2</v>
      </c>
      <c r="AE71" s="1">
        <v>2</v>
      </c>
      <c r="AG71" s="1">
        <v>4</v>
      </c>
      <c r="AH71" s="1">
        <v>4</v>
      </c>
      <c r="AO71" s="29" t="s">
        <v>102</v>
      </c>
      <c r="AP71" s="29"/>
      <c r="AQ71" s="29"/>
      <c r="AR71" s="29">
        <v>2</v>
      </c>
      <c r="AS71" s="30"/>
      <c r="AT71" s="28"/>
      <c r="AU71" s="28"/>
    </row>
    <row r="72" s="1" customFormat="1" spans="1:47">
      <c r="A72" s="1" t="s">
        <v>186</v>
      </c>
      <c r="B72" s="1" t="s">
        <v>183</v>
      </c>
      <c r="C72" s="1">
        <v>8</v>
      </c>
      <c r="N72" s="1">
        <v>2</v>
      </c>
      <c r="O72" s="1">
        <v>4</v>
      </c>
      <c r="S72" s="1">
        <v>2</v>
      </c>
      <c r="W72" s="1">
        <v>2</v>
      </c>
      <c r="Z72" s="1">
        <v>2</v>
      </c>
      <c r="AE72" s="1">
        <v>2</v>
      </c>
      <c r="AG72" s="1">
        <v>4</v>
      </c>
      <c r="AH72" s="1">
        <v>4</v>
      </c>
      <c r="AO72" s="29" t="s">
        <v>102</v>
      </c>
      <c r="AP72" s="29"/>
      <c r="AQ72" s="29"/>
      <c r="AR72" s="29">
        <v>2</v>
      </c>
      <c r="AS72" s="30"/>
      <c r="AT72" s="28"/>
      <c r="AU72" s="28"/>
    </row>
    <row r="73" s="1" customFormat="1" spans="1:47">
      <c r="A73" s="1" t="s">
        <v>187</v>
      </c>
      <c r="B73" s="1" t="s">
        <v>188</v>
      </c>
      <c r="C73" s="1">
        <v>8</v>
      </c>
      <c r="L73" s="1">
        <v>2</v>
      </c>
      <c r="O73" s="1">
        <v>2</v>
      </c>
      <c r="R73" s="1">
        <v>2</v>
      </c>
      <c r="T73" s="1">
        <v>2</v>
      </c>
      <c r="W73" s="1">
        <v>2</v>
      </c>
      <c r="Y73" s="1">
        <v>2</v>
      </c>
      <c r="AC73" s="1">
        <v>2</v>
      </c>
      <c r="AG73" s="1">
        <v>4</v>
      </c>
      <c r="AH73" s="1">
        <v>4</v>
      </c>
      <c r="AO73" s="29" t="s">
        <v>102</v>
      </c>
      <c r="AP73" s="29"/>
      <c r="AQ73" s="29"/>
      <c r="AR73" s="29">
        <v>2</v>
      </c>
      <c r="AS73" s="30"/>
      <c r="AT73" s="28"/>
      <c r="AU73" s="28"/>
    </row>
    <row r="74" s="1" customFormat="1" spans="1:47">
      <c r="A74" s="1" t="s">
        <v>189</v>
      </c>
      <c r="B74" s="1" t="s">
        <v>190</v>
      </c>
      <c r="C74" s="1">
        <v>8</v>
      </c>
      <c r="L74" s="1">
        <v>2</v>
      </c>
      <c r="O74" s="1">
        <v>2</v>
      </c>
      <c r="R74" s="1">
        <v>2</v>
      </c>
      <c r="T74" s="1">
        <v>2</v>
      </c>
      <c r="W74" s="1">
        <v>2</v>
      </c>
      <c r="Y74" s="1">
        <v>2</v>
      </c>
      <c r="AC74" s="1">
        <v>2</v>
      </c>
      <c r="AG74" s="1">
        <v>4</v>
      </c>
      <c r="AH74" s="1">
        <v>4</v>
      </c>
      <c r="AO74" s="29" t="s">
        <v>102</v>
      </c>
      <c r="AP74" s="29"/>
      <c r="AQ74" s="29"/>
      <c r="AR74" s="29">
        <v>2</v>
      </c>
      <c r="AS74" s="30"/>
      <c r="AT74" s="28"/>
      <c r="AU74" s="28"/>
    </row>
    <row r="75" s="1" customFormat="1" spans="1:47">
      <c r="A75" s="1" t="s">
        <v>191</v>
      </c>
      <c r="B75" s="1" t="s">
        <v>192</v>
      </c>
      <c r="C75" s="1">
        <v>8</v>
      </c>
      <c r="N75" s="1">
        <v>2</v>
      </c>
      <c r="O75" s="1">
        <v>4</v>
      </c>
      <c r="S75" s="1">
        <v>2</v>
      </c>
      <c r="W75" s="1">
        <v>2</v>
      </c>
      <c r="Z75" s="1">
        <v>2</v>
      </c>
      <c r="AE75" s="1">
        <v>2</v>
      </c>
      <c r="AG75" s="1">
        <v>4</v>
      </c>
      <c r="AH75" s="1">
        <v>4</v>
      </c>
      <c r="AO75" s="29" t="s">
        <v>102</v>
      </c>
      <c r="AP75" s="29"/>
      <c r="AQ75" s="29"/>
      <c r="AR75" s="29">
        <v>2</v>
      </c>
      <c r="AS75" s="30"/>
      <c r="AT75" s="28"/>
      <c r="AU75" s="28"/>
    </row>
    <row r="76" s="1" customFormat="1" spans="1:47">
      <c r="A76" s="1" t="s">
        <v>193</v>
      </c>
      <c r="B76" s="1" t="s">
        <v>179</v>
      </c>
      <c r="C76" s="1">
        <v>12</v>
      </c>
      <c r="N76" s="1">
        <v>3</v>
      </c>
      <c r="O76" s="1">
        <v>6</v>
      </c>
      <c r="R76" s="1">
        <v>3</v>
      </c>
      <c r="W76" s="1">
        <v>3</v>
      </c>
      <c r="Z76" s="1">
        <v>3</v>
      </c>
      <c r="AE76" s="1">
        <v>3</v>
      </c>
      <c r="AG76" s="1">
        <v>4</v>
      </c>
      <c r="AH76" s="1">
        <v>8</v>
      </c>
      <c r="AO76" s="29" t="s">
        <v>102</v>
      </c>
      <c r="AP76" s="29"/>
      <c r="AQ76" s="29"/>
      <c r="AR76" s="29">
        <v>3</v>
      </c>
      <c r="AS76" s="30"/>
      <c r="AT76" s="28" t="s">
        <v>102</v>
      </c>
      <c r="AU76" s="28">
        <v>1</v>
      </c>
    </row>
    <row r="77" s="1" customFormat="1" spans="1:47">
      <c r="A77" s="1" t="s">
        <v>194</v>
      </c>
      <c r="B77" s="1" t="s">
        <v>192</v>
      </c>
      <c r="C77" s="1">
        <v>8</v>
      </c>
      <c r="N77" s="1">
        <v>2</v>
      </c>
      <c r="O77" s="1">
        <v>4</v>
      </c>
      <c r="S77" s="1">
        <v>2</v>
      </c>
      <c r="W77" s="1">
        <v>2</v>
      </c>
      <c r="Z77" s="1">
        <v>2</v>
      </c>
      <c r="AE77" s="1">
        <v>2</v>
      </c>
      <c r="AG77" s="1">
        <v>4</v>
      </c>
      <c r="AH77" s="1">
        <v>4</v>
      </c>
      <c r="AO77" s="29" t="s">
        <v>102</v>
      </c>
      <c r="AP77" s="29"/>
      <c r="AQ77" s="29"/>
      <c r="AR77" s="29">
        <v>2</v>
      </c>
      <c r="AS77" s="30"/>
      <c r="AT77" s="28"/>
      <c r="AU77" s="28"/>
    </row>
    <row r="78" s="1" customFormat="1" spans="1:47">
      <c r="A78" s="1" t="s">
        <v>195</v>
      </c>
      <c r="B78" s="1" t="s">
        <v>179</v>
      </c>
      <c r="C78" s="1">
        <v>12</v>
      </c>
      <c r="N78" s="1">
        <v>3</v>
      </c>
      <c r="O78" s="1">
        <v>6</v>
      </c>
      <c r="R78" s="1">
        <v>3</v>
      </c>
      <c r="W78" s="1">
        <v>3</v>
      </c>
      <c r="Z78" s="1">
        <v>3</v>
      </c>
      <c r="AE78" s="1">
        <v>3</v>
      </c>
      <c r="AG78" s="1">
        <v>4</v>
      </c>
      <c r="AH78" s="1">
        <v>8</v>
      </c>
      <c r="AO78" s="29" t="s">
        <v>102</v>
      </c>
      <c r="AP78" s="29"/>
      <c r="AQ78" s="29"/>
      <c r="AR78" s="29">
        <v>3</v>
      </c>
      <c r="AS78" s="30"/>
      <c r="AT78" s="28"/>
      <c r="AU78" s="28"/>
    </row>
    <row r="79" s="1" customFormat="1" spans="1:47">
      <c r="A79" s="1" t="s">
        <v>196</v>
      </c>
      <c r="B79" s="1" t="s">
        <v>179</v>
      </c>
      <c r="C79" s="1">
        <v>12</v>
      </c>
      <c r="N79" s="1">
        <v>3</v>
      </c>
      <c r="O79" s="1">
        <v>6</v>
      </c>
      <c r="R79" s="1">
        <v>3</v>
      </c>
      <c r="W79" s="1">
        <v>3</v>
      </c>
      <c r="Z79" s="1">
        <v>3</v>
      </c>
      <c r="AE79" s="1">
        <v>3</v>
      </c>
      <c r="AG79" s="1">
        <v>4</v>
      </c>
      <c r="AH79" s="1">
        <v>8</v>
      </c>
      <c r="AO79" s="29" t="s">
        <v>102</v>
      </c>
      <c r="AP79" s="29"/>
      <c r="AQ79" s="29"/>
      <c r="AR79" s="29">
        <v>3</v>
      </c>
      <c r="AS79" s="30"/>
      <c r="AT79" s="28"/>
      <c r="AU79" s="28"/>
    </row>
    <row r="80" s="1" customFormat="1" spans="1:47">
      <c r="A80" s="1" t="s">
        <v>197</v>
      </c>
      <c r="B80" s="1" t="s">
        <v>179</v>
      </c>
      <c r="C80" s="1">
        <v>12</v>
      </c>
      <c r="N80" s="1">
        <v>3</v>
      </c>
      <c r="O80" s="1">
        <v>6</v>
      </c>
      <c r="R80" s="1">
        <v>3</v>
      </c>
      <c r="W80" s="1">
        <v>3</v>
      </c>
      <c r="Z80" s="1">
        <v>3</v>
      </c>
      <c r="AE80" s="1">
        <v>3</v>
      </c>
      <c r="AG80" s="1">
        <v>4</v>
      </c>
      <c r="AH80" s="1">
        <v>8</v>
      </c>
      <c r="AO80" s="29" t="s">
        <v>102</v>
      </c>
      <c r="AP80" s="29"/>
      <c r="AQ80" s="29"/>
      <c r="AR80" s="29">
        <v>3</v>
      </c>
      <c r="AS80" s="30"/>
      <c r="AT80" s="28" t="s">
        <v>102</v>
      </c>
      <c r="AU80" s="28">
        <v>1</v>
      </c>
    </row>
    <row r="81" s="1" customFormat="1" spans="1:47">
      <c r="A81" s="1" t="s">
        <v>198</v>
      </c>
      <c r="B81" s="1" t="s">
        <v>199</v>
      </c>
      <c r="C81" s="1">
        <v>6</v>
      </c>
      <c r="G81" s="1">
        <v>6</v>
      </c>
      <c r="AG81" s="1">
        <v>1</v>
      </c>
      <c r="AH81" s="1">
        <v>2</v>
      </c>
      <c r="AI81" s="1">
        <v>2</v>
      </c>
      <c r="AJ81" s="1">
        <v>1</v>
      </c>
      <c r="AO81" s="29" t="s">
        <v>102</v>
      </c>
      <c r="AP81" s="29"/>
      <c r="AQ81" s="29"/>
      <c r="AR81" s="29">
        <v>1</v>
      </c>
      <c r="AS81" s="30"/>
      <c r="AT81" s="28"/>
      <c r="AU81" s="28"/>
    </row>
    <row r="82" s="1" customFormat="1" spans="1:47">
      <c r="A82" s="1" t="s">
        <v>200</v>
      </c>
      <c r="B82" s="1" t="s">
        <v>149</v>
      </c>
      <c r="C82" s="1">
        <v>10</v>
      </c>
      <c r="P82" s="1">
        <v>3</v>
      </c>
      <c r="Q82" s="1">
        <v>2</v>
      </c>
      <c r="U82" s="1">
        <v>5</v>
      </c>
      <c r="W82" s="1">
        <v>5</v>
      </c>
      <c r="AG82" s="1">
        <v>2</v>
      </c>
      <c r="AH82" s="1">
        <v>4</v>
      </c>
      <c r="AI82" s="1">
        <v>4</v>
      </c>
      <c r="AO82" s="29" t="s">
        <v>102</v>
      </c>
      <c r="AP82" s="29"/>
      <c r="AQ82" s="29"/>
      <c r="AR82" s="29">
        <v>2</v>
      </c>
      <c r="AS82" s="30"/>
      <c r="AT82" s="28"/>
      <c r="AU82" s="28"/>
    </row>
    <row r="83" customFormat="1" spans="1:47">
      <c r="A83" s="1" t="s">
        <v>201</v>
      </c>
      <c r="B83" s="1" t="s">
        <v>202</v>
      </c>
      <c r="C83" s="1">
        <v>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>
        <v>4</v>
      </c>
      <c r="R83" s="1"/>
      <c r="S83" s="1"/>
      <c r="T83" s="1"/>
      <c r="U83" s="1">
        <v>4</v>
      </c>
      <c r="V83" s="1"/>
      <c r="W83" s="1">
        <v>4</v>
      </c>
      <c r="X83" s="1"/>
      <c r="Y83" s="1"/>
      <c r="Z83" s="1"/>
      <c r="AA83" s="1"/>
      <c r="AB83" s="1"/>
      <c r="AC83" s="1"/>
      <c r="AD83" s="1"/>
      <c r="AE83" s="1"/>
      <c r="AF83" s="1"/>
      <c r="AG83" s="1">
        <v>2</v>
      </c>
      <c r="AH83" s="1">
        <v>4</v>
      </c>
      <c r="AI83" s="1">
        <v>2</v>
      </c>
      <c r="AJ83" s="1"/>
      <c r="AK83" s="1"/>
      <c r="AL83" s="1"/>
      <c r="AM83" s="1"/>
      <c r="AN83" s="1"/>
      <c r="AO83" s="29" t="s">
        <v>102</v>
      </c>
      <c r="AP83" s="29"/>
      <c r="AQ83" s="29"/>
      <c r="AR83" s="29">
        <v>1</v>
      </c>
      <c r="AS83" s="30"/>
      <c r="AT83" s="28"/>
      <c r="AU83" s="28"/>
    </row>
    <row r="84" customFormat="1" spans="1:47">
      <c r="A84" s="1" t="s">
        <v>203</v>
      </c>
      <c r="B84" s="1" t="s">
        <v>204</v>
      </c>
      <c r="C84" s="1">
        <v>10</v>
      </c>
      <c r="D84" s="1"/>
      <c r="E84" s="1"/>
      <c r="F84" s="1"/>
      <c r="G84" s="1"/>
      <c r="H84" s="1"/>
      <c r="I84" s="1"/>
      <c r="J84" s="1">
        <v>5</v>
      </c>
      <c r="K84" s="1"/>
      <c r="L84" s="1"/>
      <c r="M84" s="1"/>
      <c r="N84" s="1"/>
      <c r="O84" s="1"/>
      <c r="P84" s="1"/>
      <c r="Q84" s="1"/>
      <c r="R84" s="1"/>
      <c r="S84" s="1">
        <v>5</v>
      </c>
      <c r="T84" s="1"/>
      <c r="U84" s="1"/>
      <c r="V84" s="1"/>
      <c r="W84" s="1">
        <v>5</v>
      </c>
      <c r="X84" s="1"/>
      <c r="Y84" s="1"/>
      <c r="Z84" s="1"/>
      <c r="AA84" s="1"/>
      <c r="AB84" s="1"/>
      <c r="AC84" s="1"/>
      <c r="AD84" s="1"/>
      <c r="AE84" s="1"/>
      <c r="AF84" s="1"/>
      <c r="AG84" s="1">
        <v>2</v>
      </c>
      <c r="AH84" s="1">
        <v>4</v>
      </c>
      <c r="AI84" s="1">
        <v>4</v>
      </c>
      <c r="AJ84" s="1"/>
      <c r="AK84" s="1"/>
      <c r="AL84" s="1"/>
      <c r="AM84" s="1"/>
      <c r="AN84" s="1"/>
      <c r="AO84" s="29" t="s">
        <v>102</v>
      </c>
      <c r="AP84" s="29"/>
      <c r="AQ84" s="29"/>
      <c r="AR84" s="29">
        <v>2</v>
      </c>
      <c r="AS84" s="30"/>
      <c r="AT84" s="28" t="s">
        <v>102</v>
      </c>
      <c r="AU84" s="28">
        <v>1</v>
      </c>
    </row>
    <row r="85" customFormat="1" spans="1:47">
      <c r="A85" s="1" t="s">
        <v>205</v>
      </c>
      <c r="B85" s="1" t="s">
        <v>204</v>
      </c>
      <c r="C85" s="1">
        <v>10</v>
      </c>
      <c r="D85" s="1"/>
      <c r="E85" s="1"/>
      <c r="F85" s="1"/>
      <c r="G85" s="1"/>
      <c r="H85" s="1"/>
      <c r="I85" s="1"/>
      <c r="J85" s="1">
        <v>5</v>
      </c>
      <c r="K85" s="1"/>
      <c r="L85" s="1"/>
      <c r="M85" s="1"/>
      <c r="N85" s="1"/>
      <c r="O85" s="1"/>
      <c r="P85" s="1"/>
      <c r="Q85" s="1"/>
      <c r="R85" s="1"/>
      <c r="S85" s="1">
        <v>5</v>
      </c>
      <c r="T85" s="1"/>
      <c r="U85" s="1"/>
      <c r="V85" s="1"/>
      <c r="W85" s="1">
        <v>5</v>
      </c>
      <c r="X85" s="1"/>
      <c r="Y85" s="1"/>
      <c r="Z85" s="1"/>
      <c r="AA85" s="1"/>
      <c r="AB85" s="1"/>
      <c r="AC85" s="1"/>
      <c r="AD85" s="1"/>
      <c r="AE85" s="1"/>
      <c r="AF85" s="1"/>
      <c r="AG85" s="1">
        <v>2</v>
      </c>
      <c r="AH85" s="1">
        <v>4</v>
      </c>
      <c r="AI85" s="1">
        <v>4</v>
      </c>
      <c r="AJ85" s="1"/>
      <c r="AK85" s="1"/>
      <c r="AL85" s="1"/>
      <c r="AM85" s="1"/>
      <c r="AN85" s="1"/>
      <c r="AO85" s="29" t="s">
        <v>102</v>
      </c>
      <c r="AP85" s="29"/>
      <c r="AQ85" s="29"/>
      <c r="AR85" s="29">
        <v>2</v>
      </c>
      <c r="AS85" s="30"/>
      <c r="AT85" s="28"/>
      <c r="AU85" s="28"/>
    </row>
    <row r="86" customFormat="1" spans="1:47">
      <c r="A86" s="1" t="s">
        <v>206</v>
      </c>
      <c r="B86" s="1" t="s">
        <v>204</v>
      </c>
      <c r="C86" s="1">
        <v>10</v>
      </c>
      <c r="D86" s="1"/>
      <c r="E86" s="1"/>
      <c r="F86" s="1"/>
      <c r="G86" s="1"/>
      <c r="H86" s="1"/>
      <c r="I86" s="1"/>
      <c r="J86" s="1">
        <v>5</v>
      </c>
      <c r="K86" s="1"/>
      <c r="L86" s="1"/>
      <c r="M86" s="1"/>
      <c r="N86" s="1"/>
      <c r="O86" s="1"/>
      <c r="P86" s="1"/>
      <c r="Q86" s="1"/>
      <c r="R86" s="1"/>
      <c r="S86" s="1">
        <v>5</v>
      </c>
      <c r="T86" s="1"/>
      <c r="U86" s="1"/>
      <c r="V86" s="1"/>
      <c r="W86" s="1">
        <v>5</v>
      </c>
      <c r="X86" s="1"/>
      <c r="Y86" s="1"/>
      <c r="Z86" s="1"/>
      <c r="AA86" s="1"/>
      <c r="AB86" s="1"/>
      <c r="AC86" s="1"/>
      <c r="AD86" s="1"/>
      <c r="AE86" s="1"/>
      <c r="AF86" s="1"/>
      <c r="AG86" s="1">
        <v>2</v>
      </c>
      <c r="AH86" s="1">
        <v>4</v>
      </c>
      <c r="AI86" s="1">
        <v>4</v>
      </c>
      <c r="AJ86" s="1"/>
      <c r="AK86" s="1"/>
      <c r="AL86" s="1"/>
      <c r="AM86" s="1"/>
      <c r="AN86" s="1"/>
      <c r="AO86" s="29" t="s">
        <v>102</v>
      </c>
      <c r="AP86" s="29"/>
      <c r="AQ86" s="29"/>
      <c r="AR86" s="29">
        <v>2</v>
      </c>
      <c r="AS86" s="30"/>
      <c r="AT86" s="28"/>
      <c r="AU86" s="28"/>
    </row>
    <row r="87" customFormat="1" spans="1:47">
      <c r="A87" s="1" t="s">
        <v>207</v>
      </c>
      <c r="B87" s="1" t="s">
        <v>204</v>
      </c>
      <c r="C87" s="1">
        <v>10</v>
      </c>
      <c r="D87" s="1"/>
      <c r="E87" s="1"/>
      <c r="F87" s="1"/>
      <c r="G87" s="1"/>
      <c r="H87" s="1"/>
      <c r="I87" s="1"/>
      <c r="J87" s="1">
        <v>5</v>
      </c>
      <c r="K87" s="1"/>
      <c r="L87" s="1"/>
      <c r="M87" s="1"/>
      <c r="N87" s="1"/>
      <c r="O87" s="1"/>
      <c r="P87" s="1"/>
      <c r="Q87" s="1"/>
      <c r="R87" s="1"/>
      <c r="S87" s="1">
        <v>5</v>
      </c>
      <c r="T87" s="1"/>
      <c r="U87" s="1"/>
      <c r="V87" s="1"/>
      <c r="W87" s="1">
        <v>5</v>
      </c>
      <c r="X87" s="1"/>
      <c r="Y87" s="1"/>
      <c r="Z87" s="1"/>
      <c r="AA87" s="1"/>
      <c r="AB87" s="1"/>
      <c r="AC87" s="1"/>
      <c r="AD87" s="1"/>
      <c r="AE87" s="1"/>
      <c r="AF87" s="1"/>
      <c r="AG87" s="1">
        <v>2</v>
      </c>
      <c r="AH87" s="1">
        <v>4</v>
      </c>
      <c r="AI87" s="1">
        <v>4</v>
      </c>
      <c r="AJ87" s="1"/>
      <c r="AK87" s="1"/>
      <c r="AL87" s="1"/>
      <c r="AM87" s="1"/>
      <c r="AN87" s="1"/>
      <c r="AO87" s="29" t="s">
        <v>102</v>
      </c>
      <c r="AP87" s="29"/>
      <c r="AQ87" s="29"/>
      <c r="AR87" s="29">
        <v>2</v>
      </c>
      <c r="AS87" s="30"/>
      <c r="AT87" s="28"/>
      <c r="AU87" s="28"/>
    </row>
    <row r="88" spans="1:47">
      <c r="D88" s="2">
        <f>SUM(D6:D87)</f>
        <v>0</v>
      </c>
      <c r="E88" s="2">
        <f t="shared" ref="D88:AM88" si="0">SUM(E6:E87)</f>
        <v>1</v>
      </c>
      <c r="F88" s="2">
        <f t="shared" si="0"/>
        <v>0</v>
      </c>
      <c r="G88" s="2">
        <f t="shared" si="0"/>
        <v>9</v>
      </c>
      <c r="H88" s="2">
        <f t="shared" si="0"/>
        <v>0</v>
      </c>
      <c r="I88" s="2">
        <f t="shared" si="0"/>
        <v>0</v>
      </c>
      <c r="J88" s="2">
        <f t="shared" si="0"/>
        <v>23</v>
      </c>
      <c r="K88" s="2">
        <f t="shared" si="0"/>
        <v>0</v>
      </c>
      <c r="L88" s="2">
        <f t="shared" si="0"/>
        <v>4</v>
      </c>
      <c r="M88" s="2">
        <f t="shared" si="0"/>
        <v>0</v>
      </c>
      <c r="N88" s="2">
        <f t="shared" si="0"/>
        <v>31</v>
      </c>
      <c r="O88" s="2">
        <f t="shared" si="0"/>
        <v>66</v>
      </c>
      <c r="P88" s="2">
        <f t="shared" si="0"/>
        <v>6</v>
      </c>
      <c r="Q88" s="2">
        <f t="shared" si="0"/>
        <v>6</v>
      </c>
      <c r="R88" s="2">
        <f t="shared" si="0"/>
        <v>25</v>
      </c>
      <c r="S88" s="2">
        <f t="shared" si="0"/>
        <v>33</v>
      </c>
      <c r="T88" s="2">
        <f t="shared" si="0"/>
        <v>4</v>
      </c>
      <c r="U88" s="2">
        <f t="shared" si="0"/>
        <v>12</v>
      </c>
      <c r="V88" s="2">
        <f t="shared" si="0"/>
        <v>0</v>
      </c>
      <c r="W88" s="2">
        <f t="shared" si="0"/>
        <v>67</v>
      </c>
      <c r="X88" s="2">
        <f t="shared" si="0"/>
        <v>0</v>
      </c>
      <c r="Y88" s="2">
        <f t="shared" si="0"/>
        <v>4</v>
      </c>
      <c r="Z88" s="2">
        <f t="shared" si="0"/>
        <v>34</v>
      </c>
      <c r="AA88" s="2">
        <f t="shared" si="0"/>
        <v>0</v>
      </c>
      <c r="AB88" s="2">
        <f t="shared" si="0"/>
        <v>0</v>
      </c>
      <c r="AC88" s="2">
        <f t="shared" si="0"/>
        <v>4</v>
      </c>
      <c r="AD88" s="2">
        <f t="shared" si="0"/>
        <v>0</v>
      </c>
      <c r="AE88" s="2">
        <f t="shared" si="0"/>
        <v>31</v>
      </c>
      <c r="AF88" s="2">
        <f t="shared" si="0"/>
        <v>3</v>
      </c>
      <c r="AG88" s="2">
        <f t="shared" si="0"/>
        <v>289</v>
      </c>
      <c r="AH88" s="2">
        <f t="shared" si="0"/>
        <v>473</v>
      </c>
      <c r="AI88" s="2">
        <f t="shared" si="0"/>
        <v>55</v>
      </c>
      <c r="AJ88" s="2">
        <f t="shared" si="0"/>
        <v>3</v>
      </c>
      <c r="AK88" s="2">
        <f t="shared" si="0"/>
        <v>0</v>
      </c>
      <c r="AL88" s="2">
        <f t="shared" si="0"/>
        <v>0</v>
      </c>
      <c r="AM88" s="2">
        <f t="shared" si="0"/>
        <v>0</v>
      </c>
      <c r="AR88" s="2">
        <f>50</f>
        <v>50</v>
      </c>
      <c r="AU88" s="2">
        <v>16</v>
      </c>
    </row>
    <row r="89" spans="1:47">
      <c r="D89" s="2">
        <v>0</v>
      </c>
      <c r="E89" s="2">
        <v>1</v>
      </c>
      <c r="F89" s="2">
        <v>0</v>
      </c>
      <c r="G89" s="2">
        <v>9</v>
      </c>
      <c r="H89" s="2">
        <v>0</v>
      </c>
      <c r="I89" s="2">
        <v>0</v>
      </c>
      <c r="J89" s="2">
        <v>23</v>
      </c>
      <c r="K89" s="2">
        <v>0</v>
      </c>
      <c r="L89" s="2">
        <v>4</v>
      </c>
      <c r="M89" s="2">
        <v>0</v>
      </c>
      <c r="N89" s="2">
        <v>31</v>
      </c>
      <c r="O89" s="2">
        <v>66</v>
      </c>
      <c r="P89" s="2">
        <v>6</v>
      </c>
      <c r="Q89" s="2">
        <v>6</v>
      </c>
      <c r="R89" s="2">
        <v>25</v>
      </c>
      <c r="S89" s="2">
        <v>33</v>
      </c>
      <c r="T89" s="2">
        <v>4</v>
      </c>
      <c r="U89" s="2">
        <v>12</v>
      </c>
      <c r="V89" s="2">
        <v>0</v>
      </c>
      <c r="W89" s="2">
        <v>67</v>
      </c>
      <c r="X89" s="2">
        <v>0</v>
      </c>
      <c r="Y89" s="2">
        <v>4</v>
      </c>
      <c r="Z89" s="2">
        <v>34</v>
      </c>
      <c r="AA89" s="2">
        <v>0</v>
      </c>
      <c r="AB89" s="2">
        <v>0</v>
      </c>
      <c r="AC89" s="2">
        <v>4</v>
      </c>
      <c r="AD89" s="2">
        <v>0</v>
      </c>
      <c r="AE89" s="2">
        <v>31</v>
      </c>
      <c r="AF89" s="2">
        <v>3</v>
      </c>
      <c r="AG89" s="2">
        <v>289</v>
      </c>
      <c r="AH89" s="2">
        <v>473</v>
      </c>
      <c r="AI89" s="2">
        <v>55</v>
      </c>
      <c r="AJ89" s="2">
        <v>3</v>
      </c>
      <c r="AK89" s="2">
        <v>0</v>
      </c>
      <c r="AL89" s="2">
        <v>0</v>
      </c>
      <c r="AM89" s="2">
        <v>0</v>
      </c>
      <c r="AR89" s="2">
        <v>1</v>
      </c>
      <c r="AU89" s="2">
        <v>3</v>
      </c>
    </row>
    <row r="90" spans="1:47">
      <c r="A90" s="31" t="s">
        <v>208</v>
      </c>
      <c r="B90" s="32"/>
      <c r="C90" s="32"/>
      <c r="D90" s="17"/>
      <c r="E90" s="17"/>
    </row>
    <row r="91" spans="1:47">
      <c r="A91" s="31" t="s">
        <v>209</v>
      </c>
      <c r="B91" s="31">
        <v>70</v>
      </c>
      <c r="C91" s="31"/>
      <c r="D91" s="17"/>
      <c r="E91" s="17"/>
    </row>
    <row r="92" spans="1:47">
      <c r="A92" s="31" t="s">
        <v>210</v>
      </c>
      <c r="B92" s="31" t="s">
        <v>102</v>
      </c>
      <c r="C92" s="31"/>
      <c r="D92" s="17">
        <v>66</v>
      </c>
      <c r="E92" s="13"/>
    </row>
    <row r="93" spans="1:47">
      <c r="A93" s="31"/>
      <c r="B93" s="31" t="s">
        <v>103</v>
      </c>
      <c r="C93" s="31"/>
      <c r="D93" s="17">
        <v>4</v>
      </c>
      <c r="E93" s="13"/>
    </row>
    <row r="94" spans="1:47">
      <c r="A94" s="31" t="s">
        <v>211</v>
      </c>
      <c r="B94" s="31">
        <v>34</v>
      </c>
      <c r="C94" s="17"/>
      <c r="D94" s="17"/>
      <c r="E94" s="17"/>
    </row>
    <row r="95" spans="1:47">
      <c r="A95" s="31" t="s">
        <v>212</v>
      </c>
      <c r="B95" s="31" t="s">
        <v>213</v>
      </c>
      <c r="C95" s="31"/>
      <c r="D95" s="17">
        <v>33</v>
      </c>
      <c r="E95" s="33">
        <f>1.05*1.05*1.15*D95</f>
        <v>41.839875</v>
      </c>
    </row>
    <row r="96" spans="1:47">
      <c r="A96" s="31"/>
      <c r="B96" s="31" t="s">
        <v>214</v>
      </c>
      <c r="C96" s="31"/>
      <c r="D96" s="17">
        <v>0</v>
      </c>
      <c r="E96" s="33">
        <f>1.05*1.05*0.65*D96</f>
        <v>0</v>
      </c>
    </row>
    <row r="97" spans="1:5">
      <c r="A97" s="31"/>
      <c r="B97" s="31" t="s">
        <v>215</v>
      </c>
      <c r="C97" s="31"/>
      <c r="D97" s="17">
        <v>1</v>
      </c>
      <c r="E97" s="33">
        <f>1.5*0.75*1.15*D97</f>
        <v>1.29375</v>
      </c>
    </row>
    <row r="98" spans="1:5">
      <c r="A98" s="31"/>
      <c r="B98" s="31" t="s">
        <v>216</v>
      </c>
      <c r="C98" s="31"/>
      <c r="D98" s="17">
        <v>0</v>
      </c>
      <c r="E98" s="33">
        <f>1.5*0.75*0.65*D98</f>
        <v>0</v>
      </c>
    </row>
    <row r="99" spans="1:5">
      <c r="A99" s="31" t="s">
        <v>217</v>
      </c>
      <c r="B99" s="34">
        <f>SUBTOTAL(9,E95:E98)</f>
        <v>43.133625</v>
      </c>
      <c r="C99" s="17"/>
      <c r="D99" s="17"/>
      <c r="E99" s="35"/>
    </row>
    <row r="100" spans="1:5">
      <c r="A100" s="31" t="s">
        <v>218</v>
      </c>
      <c r="B100" s="36">
        <v>13823.85</v>
      </c>
      <c r="C100" s="17"/>
      <c r="D100" s="17"/>
      <c r="E100" s="17"/>
    </row>
  </sheetData>
  <autoFilter xmlns:etc="http://www.wps.cn/officeDocument/2017/etCustomData" ref="AO1:AU100" etc:filterBottomFollowUsedRange="0">
    <extLst/>
  </autoFilter>
  <mergeCells count="51">
    <mergeCell ref="B92:C92"/>
    <mergeCell ref="B93:C93"/>
    <mergeCell ref="B95:C95"/>
    <mergeCell ref="B96:C96"/>
    <mergeCell ref="B97:C97"/>
    <mergeCell ref="B98:C98"/>
    <mergeCell ref="A1:A3"/>
    <mergeCell ref="B1:B3"/>
    <mergeCell ref="C1:C3"/>
    <mergeCell ref="AO1:AO3"/>
    <mergeCell ref="AR1:AR3"/>
    <mergeCell ref="AT1:AT3"/>
    <mergeCell ref="AT6:AT7"/>
    <mergeCell ref="AT8:AT12"/>
    <mergeCell ref="AT13:AT19"/>
    <mergeCell ref="AT20:AT23"/>
    <mergeCell ref="AT24:AT25"/>
    <mergeCell ref="AT26:AT29"/>
    <mergeCell ref="AT30:AT34"/>
    <mergeCell ref="AT35:AT39"/>
    <mergeCell ref="AT40:AT44"/>
    <mergeCell ref="AT45:AT48"/>
    <mergeCell ref="AT49:AT52"/>
    <mergeCell ref="AT53:AT56"/>
    <mergeCell ref="AT57:AT60"/>
    <mergeCell ref="AT61:AT65"/>
    <mergeCell ref="AT66:AT69"/>
    <mergeCell ref="AT70:AT75"/>
    <mergeCell ref="AT76:AT79"/>
    <mergeCell ref="AT80:AT83"/>
    <mergeCell ref="AT84:AT87"/>
    <mergeCell ref="AU1:AU3"/>
    <mergeCell ref="AU6:AU7"/>
    <mergeCell ref="AU8:AU12"/>
    <mergeCell ref="AU13:AU19"/>
    <mergeCell ref="AU20:AU23"/>
    <mergeCell ref="AU24:AU25"/>
    <mergeCell ref="AU26:AU29"/>
    <mergeCell ref="AU30:AU34"/>
    <mergeCell ref="AU35:AU39"/>
    <mergeCell ref="AU40:AU44"/>
    <mergeCell ref="AU45:AU48"/>
    <mergeCell ref="AU49:AU52"/>
    <mergeCell ref="AU53:AU56"/>
    <mergeCell ref="AU57:AU60"/>
    <mergeCell ref="AU61:AU65"/>
    <mergeCell ref="AU66:AU69"/>
    <mergeCell ref="AU70:AU75"/>
    <mergeCell ref="AU76:AU79"/>
    <mergeCell ref="AU80:AU83"/>
    <mergeCell ref="AU84:AU87"/>
  </mergeCells>
  <pageMargins left="0.75" right="0.75" top="1" bottom="1" header="0.5" footer="0.5"/>
  <pageSetup paperSize="9" scale="29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47"/>
  <sheetViews>
    <sheetView zoomScale="85" zoomScaleNormal="85" topLeftCell="A10" workbookViewId="0">
      <selection activeCell="BK22" sqref="BK22:BK39"/>
    </sheetView>
  </sheetViews>
  <sheetFormatPr defaultColWidth="8.86666666666667" defaultRowHeight="15"/>
  <cols>
    <col min="1" max="1" width="19" style="1" customWidth="1"/>
    <col min="2" max="2" width="8.4" style="1" customWidth="1"/>
    <col min="3" max="3" width="6.4" style="1" customWidth="1"/>
    <col min="4" max="6" width="8.86666666666667" style="1"/>
    <col min="7" max="16" width="8.86666666666667" style="1" hidden="1" customWidth="1"/>
    <col min="17" max="17" width="9.66666666666667" style="1" hidden="1" customWidth="1"/>
    <col min="18" max="22" width="8.86666666666667" style="1" hidden="1" customWidth="1"/>
    <col min="23" max="23" width="9.66666666666667" style="1" hidden="1" customWidth="1"/>
    <col min="24" max="25" width="8.86666666666667" style="1" hidden="1" customWidth="1"/>
    <col min="26" max="26" width="9.66666666666667" style="1" hidden="1" customWidth="1"/>
    <col min="27" max="28" width="8.86666666666667" style="1" hidden="1" customWidth="1"/>
    <col min="29" max="29" width="9.66666666666667" style="1" hidden="1" customWidth="1"/>
    <col min="30" max="31" width="8.86666666666667" style="1" hidden="1" customWidth="1"/>
    <col min="32" max="32" width="9.66666666666667" style="1" hidden="1" customWidth="1"/>
    <col min="33" max="40" width="8.86666666666667" style="1" hidden="1" customWidth="1"/>
    <col min="41" max="41" width="9.66666666666667" style="1" hidden="1" customWidth="1"/>
    <col min="42" max="43" width="8.86666666666667" style="1" hidden="1" customWidth="1"/>
    <col min="44" max="44" width="9.66666666666667" style="1" hidden="1" customWidth="1"/>
    <col min="45" max="58" width="8.86666666666667" style="1" hidden="1" customWidth="1"/>
    <col min="59" max="63" width="8.86666666666667" style="1"/>
    <col min="64" max="64" width="9.25833333333333" style="1"/>
    <col min="65" max="66" width="8.86666666666667" style="1" hidden="1" customWidth="1"/>
    <col min="67" max="67" width="32.6416666666667" style="1" hidden="1" customWidth="1"/>
    <col min="68" max="68" width="48.375" style="1" hidden="1" customWidth="1"/>
    <col min="69" max="69" width="8.86666666666667" style="1" hidden="1" customWidth="1"/>
    <col min="70" max="70" width="16.025" style="1" hidden="1" customWidth="1"/>
    <col min="71" max="72" width="8.86666666666667" style="1" hidden="1" customWidth="1"/>
    <col min="73" max="16384" width="8.86666666666667" style="1"/>
  </cols>
  <sheetData>
    <row r="1" spans="1:77">
      <c r="A1" s="1" t="s">
        <v>0</v>
      </c>
      <c r="B1" s="1">
        <v>0</v>
      </c>
      <c r="C1" s="1" t="s">
        <v>304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>
        <v>0</v>
      </c>
      <c r="Q1" s="2">
        <v>6</v>
      </c>
      <c r="R1" s="2">
        <v>76</v>
      </c>
      <c r="S1" s="2">
        <v>14</v>
      </c>
      <c r="T1" s="2">
        <v>0</v>
      </c>
      <c r="U1" s="2">
        <v>0</v>
      </c>
      <c r="V1" s="2">
        <v>34</v>
      </c>
      <c r="W1" s="2">
        <v>16</v>
      </c>
      <c r="X1" s="2">
        <v>7</v>
      </c>
      <c r="Y1" s="2">
        <v>3</v>
      </c>
      <c r="Z1" s="2">
        <v>112</v>
      </c>
      <c r="AA1" s="2">
        <v>136</v>
      </c>
      <c r="AB1" s="2">
        <v>30</v>
      </c>
      <c r="AC1" s="2">
        <v>0</v>
      </c>
      <c r="AD1" s="2">
        <v>0</v>
      </c>
      <c r="AE1" s="2">
        <v>6</v>
      </c>
      <c r="AF1" s="2">
        <v>9</v>
      </c>
      <c r="AG1" s="2">
        <v>31</v>
      </c>
      <c r="AH1" s="2">
        <v>0</v>
      </c>
      <c r="AI1" s="2">
        <v>172</v>
      </c>
      <c r="AJ1" s="2">
        <v>0</v>
      </c>
      <c r="AK1" s="2">
        <v>12</v>
      </c>
      <c r="AL1" s="2">
        <v>90</v>
      </c>
      <c r="AM1" s="2">
        <v>0</v>
      </c>
      <c r="AN1" s="2">
        <v>0</v>
      </c>
      <c r="AO1" s="2">
        <v>12</v>
      </c>
      <c r="AP1" s="2">
        <v>0</v>
      </c>
      <c r="AQ1" s="2">
        <v>0</v>
      </c>
      <c r="AR1" s="2">
        <v>8</v>
      </c>
      <c r="AS1" s="2"/>
      <c r="AT1" s="2"/>
    </row>
    <row r="2" spans="1:77">
      <c r="A2" s="1" t="s">
        <v>1</v>
      </c>
      <c r="B2" s="1">
        <v>0</v>
      </c>
      <c r="S2" s="2">
        <v>0</v>
      </c>
      <c r="T2" s="2">
        <v>16</v>
      </c>
      <c r="U2" s="2">
        <v>19</v>
      </c>
      <c r="V2" s="2">
        <v>21</v>
      </c>
      <c r="W2" s="2">
        <v>0</v>
      </c>
      <c r="X2" s="2">
        <v>0</v>
      </c>
      <c r="Y2" s="2">
        <v>428</v>
      </c>
      <c r="Z2" s="2">
        <v>103</v>
      </c>
      <c r="AA2" s="2">
        <v>0</v>
      </c>
      <c r="AB2" s="2">
        <v>0</v>
      </c>
      <c r="AC2" s="2">
        <v>16</v>
      </c>
      <c r="AD2" s="2">
        <v>28</v>
      </c>
      <c r="AE2" s="2">
        <v>32</v>
      </c>
      <c r="AF2" s="2">
        <v>12</v>
      </c>
      <c r="AG2" s="2">
        <v>0</v>
      </c>
      <c r="AH2" s="2">
        <v>53</v>
      </c>
      <c r="AI2" s="2">
        <v>8</v>
      </c>
      <c r="AJ2" s="2">
        <v>36</v>
      </c>
      <c r="AK2" s="2">
        <v>0</v>
      </c>
      <c r="AL2" s="2">
        <v>228</v>
      </c>
      <c r="AM2" s="2">
        <v>0</v>
      </c>
      <c r="AN2" s="2">
        <v>16</v>
      </c>
      <c r="AO2" s="2">
        <v>181</v>
      </c>
      <c r="AP2" s="2">
        <v>0</v>
      </c>
      <c r="AQ2" s="2">
        <v>0</v>
      </c>
      <c r="AR2" s="2">
        <v>12</v>
      </c>
      <c r="AS2" s="2">
        <v>0</v>
      </c>
      <c r="AT2" s="2">
        <v>81</v>
      </c>
      <c r="AU2" s="2">
        <v>37</v>
      </c>
      <c r="AV2" s="2">
        <v>276</v>
      </c>
      <c r="AW2" s="2">
        <v>455</v>
      </c>
      <c r="AX2" s="2">
        <v>58</v>
      </c>
      <c r="AY2" s="2">
        <v>12</v>
      </c>
      <c r="AZ2" s="2">
        <v>3</v>
      </c>
      <c r="BA2" s="2">
        <v>2</v>
      </c>
      <c r="BB2" s="2">
        <v>0</v>
      </c>
    </row>
    <row r="3" spans="1:77">
      <c r="A3" s="1" t="s">
        <v>2</v>
      </c>
      <c r="B3" s="1">
        <v>0</v>
      </c>
      <c r="W3" s="2">
        <v>0</v>
      </c>
      <c r="X3" s="2">
        <v>0</v>
      </c>
      <c r="Y3" s="2">
        <v>24</v>
      </c>
      <c r="Z3" s="2">
        <v>0</v>
      </c>
      <c r="AA3" s="2">
        <v>6</v>
      </c>
      <c r="AB3" s="2">
        <v>9</v>
      </c>
      <c r="AC3" s="2">
        <v>164</v>
      </c>
      <c r="AD3" s="2">
        <v>56</v>
      </c>
      <c r="AE3" s="2">
        <v>24</v>
      </c>
      <c r="AF3" s="2">
        <v>6</v>
      </c>
      <c r="AG3" s="2">
        <v>102</v>
      </c>
      <c r="AH3" s="2">
        <v>216</v>
      </c>
      <c r="AI3" s="2">
        <v>40</v>
      </c>
      <c r="AJ3" s="2">
        <v>0</v>
      </c>
      <c r="AK3" s="2">
        <v>80</v>
      </c>
      <c r="AL3" s="2">
        <v>24</v>
      </c>
      <c r="AM3" s="2">
        <v>30</v>
      </c>
      <c r="AN3" s="2">
        <v>40</v>
      </c>
      <c r="AO3" s="2">
        <v>0</v>
      </c>
      <c r="AP3" s="2">
        <v>233</v>
      </c>
      <c r="AQ3" s="2">
        <v>0</v>
      </c>
      <c r="AR3" s="2">
        <v>12</v>
      </c>
      <c r="AS3" s="2">
        <v>146</v>
      </c>
      <c r="AT3" s="2">
        <v>0</v>
      </c>
      <c r="AU3" s="2">
        <v>0</v>
      </c>
      <c r="AV3" s="2">
        <v>12</v>
      </c>
      <c r="AW3" s="2">
        <v>0</v>
      </c>
      <c r="AX3" s="2">
        <v>140</v>
      </c>
      <c r="AY3" s="2">
        <v>6</v>
      </c>
      <c r="AZ3" s="2">
        <v>268</v>
      </c>
      <c r="BA3" s="2">
        <v>454</v>
      </c>
      <c r="BB3" s="2">
        <v>52</v>
      </c>
      <c r="BC3" s="2">
        <v>32</v>
      </c>
      <c r="BD3" s="2">
        <v>12</v>
      </c>
      <c r="BE3" s="2">
        <v>3</v>
      </c>
      <c r="BF3" s="2">
        <v>0</v>
      </c>
      <c r="BG3" s="3">
        <v>1</v>
      </c>
      <c r="BH3" s="3"/>
      <c r="BI3" s="3">
        <v>2</v>
      </c>
      <c r="BJ3" s="3"/>
      <c r="BK3" s="3">
        <v>3</v>
      </c>
      <c r="BL3" s="3"/>
    </row>
    <row r="4" ht="30" spans="1:77">
      <c r="A4" s="1" t="s">
        <v>3</v>
      </c>
      <c r="B4" s="1" t="s">
        <v>10</v>
      </c>
      <c r="C4" s="1">
        <v>17.79</v>
      </c>
      <c r="D4" s="1">
        <v>0</v>
      </c>
      <c r="E4" s="1">
        <f t="shared" ref="E4:E39" si="0">C4*D4</f>
        <v>0</v>
      </c>
      <c r="J4" s="1">
        <v>0</v>
      </c>
      <c r="K4" s="1">
        <f t="shared" ref="K4:K32" si="1">C4*J4</f>
        <v>0</v>
      </c>
      <c r="L4" s="4"/>
      <c r="N4" s="4"/>
      <c r="P4" s="1" cm="1">
        <f t="array" ref="P4:P32">TRANSPOSE(P1:AR1)</f>
        <v>0</v>
      </c>
      <c r="Q4" s="1">
        <f>C4*P4</f>
        <v>0</v>
      </c>
      <c r="S4" s="1" cm="1">
        <f t="array" ref="S4:S39">TRANSPOSE(S2:BB2)</f>
        <v>0</v>
      </c>
      <c r="T4" s="1">
        <f>C4*S4</f>
        <v>0</v>
      </c>
      <c r="V4" s="1" cm="1">
        <f t="array" ref="V4:V39">TRANSPOSE(W3:BF3)</f>
        <v>0</v>
      </c>
      <c r="W4" s="1">
        <f>V4*C4</f>
        <v>0</v>
      </c>
      <c r="Y4" s="1">
        <v>0</v>
      </c>
      <c r="Z4" s="1">
        <f>Y4*C4</f>
        <v>0</v>
      </c>
      <c r="AB4" s="1">
        <v>34</v>
      </c>
      <c r="AC4" s="1">
        <f>AB4*C4</f>
        <v>604.86</v>
      </c>
      <c r="AE4" s="1">
        <v>0</v>
      </c>
      <c r="AF4" s="1">
        <f>AE4*C4</f>
        <v>0</v>
      </c>
      <c r="AH4" s="1">
        <v>0</v>
      </c>
      <c r="AI4" s="1">
        <f>AH4*C4</f>
        <v>0</v>
      </c>
      <c r="AK4" s="1">
        <v>0</v>
      </c>
      <c r="AL4" s="1">
        <f>AK4*C4</f>
        <v>0</v>
      </c>
      <c r="AN4" s="1">
        <v>0</v>
      </c>
      <c r="AO4" s="1">
        <f>AN4*C4</f>
        <v>0</v>
      </c>
      <c r="AQ4" s="1">
        <v>4</v>
      </c>
      <c r="AR4" s="1">
        <f>AQ4*C4</f>
        <v>71.16</v>
      </c>
      <c r="BG4" s="2">
        <v>0</v>
      </c>
      <c r="BH4" s="1">
        <f>C4*BG4</f>
        <v>0</v>
      </c>
      <c r="BI4" s="2">
        <v>34</v>
      </c>
      <c r="BJ4" s="1">
        <f>C4*BI4</f>
        <v>604.86</v>
      </c>
      <c r="BK4" s="2">
        <v>0</v>
      </c>
      <c r="BL4" s="1">
        <f>BK4*C4</f>
        <v>0</v>
      </c>
      <c r="BN4" s="1">
        <f>BG4+BI4+BK4</f>
        <v>34</v>
      </c>
      <c r="BO4" s="5" t="s">
        <v>305</v>
      </c>
      <c r="BP4" s="5" t="s">
        <v>306</v>
      </c>
      <c r="BQ4" s="6">
        <v>289.18</v>
      </c>
      <c r="BR4" s="5" t="s">
        <v>307</v>
      </c>
      <c r="BS4" s="4">
        <v>2</v>
      </c>
      <c r="BT4" s="1">
        <f>BS4*C4</f>
        <v>35.58</v>
      </c>
      <c r="BV4" s="4"/>
      <c r="BW4" s="4"/>
    </row>
    <row r="5" ht="30" spans="1:77">
      <c r="A5" s="1" t="s">
        <v>3</v>
      </c>
      <c r="B5" s="1" t="s">
        <v>11</v>
      </c>
      <c r="C5" s="1">
        <v>17.79</v>
      </c>
      <c r="D5" s="1">
        <v>6</v>
      </c>
      <c r="E5" s="1">
        <f t="shared" si="0"/>
        <v>106.74</v>
      </c>
      <c r="J5" s="1">
        <v>0</v>
      </c>
      <c r="K5" s="1">
        <f t="shared" si="1"/>
        <v>0</v>
      </c>
      <c r="L5" s="4"/>
      <c r="N5" s="4"/>
      <c r="P5" s="1">
        <v>6</v>
      </c>
      <c r="Q5" s="1">
        <f t="shared" ref="Q5:Q32" si="2">C5*P5</f>
        <v>106.74</v>
      </c>
      <c r="S5" s="1">
        <v>16</v>
      </c>
      <c r="T5" s="1">
        <f t="shared" ref="T5:T39" si="3">C5*S5</f>
        <v>284.64</v>
      </c>
      <c r="V5" s="1">
        <v>0</v>
      </c>
      <c r="W5" s="1">
        <f t="shared" ref="W5:W39" si="4">V5*C5</f>
        <v>0</v>
      </c>
      <c r="Y5" s="1">
        <v>1</v>
      </c>
      <c r="Z5" s="1">
        <f t="shared" ref="Z5:Z39" si="5">Y5*C5</f>
        <v>17.79</v>
      </c>
      <c r="AB5" s="1">
        <v>10</v>
      </c>
      <c r="AC5" s="1">
        <f t="shared" ref="AC5:AC39" si="6">AB5*C5</f>
        <v>177.9</v>
      </c>
      <c r="AE5" s="1">
        <v>21</v>
      </c>
      <c r="AF5" s="1">
        <f t="shared" ref="AF5:AF39" si="7">AE5*C5</f>
        <v>373.59</v>
      </c>
      <c r="AH5" s="1">
        <v>6</v>
      </c>
      <c r="AI5" s="1">
        <f t="shared" ref="AI5:AI41" si="8">AH5*C5</f>
        <v>106.74</v>
      </c>
      <c r="AK5" s="1">
        <v>8</v>
      </c>
      <c r="AL5" s="1">
        <f t="shared" ref="AL5:AL39" si="9">AK5*C5</f>
        <v>142.32</v>
      </c>
      <c r="AN5" s="1">
        <v>11</v>
      </c>
      <c r="AO5" s="1">
        <f t="shared" ref="AO5:AO41" si="10">AN5*C5</f>
        <v>195.69</v>
      </c>
      <c r="AQ5" s="1">
        <v>29</v>
      </c>
      <c r="AR5" s="1">
        <f t="shared" ref="AR5:AR41" si="11">AQ5*C5</f>
        <v>515.91</v>
      </c>
      <c r="BG5" s="2">
        <v>0</v>
      </c>
      <c r="BH5" s="1">
        <f t="shared" ref="BH5:BH32" si="12">C5*BG5</f>
        <v>0</v>
      </c>
      <c r="BI5" s="2">
        <v>9</v>
      </c>
      <c r="BJ5" s="1">
        <f t="shared" ref="BJ5:BJ32" si="13">C5*BI5</f>
        <v>160.11</v>
      </c>
      <c r="BK5" s="2">
        <v>1</v>
      </c>
      <c r="BL5" s="1">
        <f t="shared" ref="BL5:BL39" si="14">BK5*C5</f>
        <v>17.79</v>
      </c>
      <c r="BN5" s="1">
        <f t="shared" ref="BN5:BN39" si="15">BG5+BI5+BK5</f>
        <v>10</v>
      </c>
      <c r="BO5" s="5" t="s">
        <v>308</v>
      </c>
      <c r="BP5" s="5" t="s">
        <v>309</v>
      </c>
      <c r="BQ5" s="6">
        <v>289.18</v>
      </c>
      <c r="BR5" s="5" t="s">
        <v>310</v>
      </c>
      <c r="BS5" s="7"/>
      <c r="BT5" s="1">
        <f t="shared" ref="BT5:BT26" si="16">BS5*C5</f>
        <v>0</v>
      </c>
      <c r="BV5" s="4"/>
      <c r="BW5" s="4">
        <v>1</v>
      </c>
      <c r="BX5" s="1">
        <f>BW5</f>
        <v>1</v>
      </c>
      <c r="BY5" s="1">
        <f>BX5*C5</f>
        <v>17.79</v>
      </c>
    </row>
    <row r="6" spans="1:77">
      <c r="A6" s="1" t="s">
        <v>3</v>
      </c>
      <c r="B6" s="1" t="s">
        <v>12</v>
      </c>
      <c r="C6" s="1">
        <v>17.79</v>
      </c>
      <c r="D6" s="1">
        <v>76</v>
      </c>
      <c r="E6" s="1">
        <f t="shared" si="0"/>
        <v>1352.04</v>
      </c>
      <c r="J6" s="1">
        <v>0</v>
      </c>
      <c r="K6" s="1">
        <f t="shared" si="1"/>
        <v>0</v>
      </c>
      <c r="L6" s="4"/>
      <c r="N6" s="4"/>
      <c r="P6" s="1">
        <v>76</v>
      </c>
      <c r="Q6" s="1">
        <f t="shared" si="2"/>
        <v>1352.04</v>
      </c>
      <c r="S6" s="1">
        <v>19</v>
      </c>
      <c r="T6" s="1">
        <f t="shared" si="3"/>
        <v>338.01</v>
      </c>
      <c r="V6" s="1">
        <v>24</v>
      </c>
      <c r="W6" s="1">
        <f t="shared" si="4"/>
        <v>426.96</v>
      </c>
      <c r="Y6" s="1">
        <v>5</v>
      </c>
      <c r="Z6" s="1">
        <f t="shared" si="5"/>
        <v>88.95</v>
      </c>
      <c r="AB6" s="1">
        <v>0</v>
      </c>
      <c r="AC6" s="1">
        <f t="shared" si="6"/>
        <v>0</v>
      </c>
      <c r="AE6" s="1">
        <v>17</v>
      </c>
      <c r="AF6" s="1">
        <f t="shared" si="7"/>
        <v>302.43</v>
      </c>
      <c r="AH6" s="1">
        <v>23</v>
      </c>
      <c r="AI6" s="1">
        <f t="shared" si="8"/>
        <v>409.17</v>
      </c>
      <c r="AK6" s="1">
        <v>2</v>
      </c>
      <c r="AL6" s="1">
        <f t="shared" si="9"/>
        <v>35.58</v>
      </c>
      <c r="AN6" s="1">
        <v>9</v>
      </c>
      <c r="AO6" s="1">
        <f t="shared" si="10"/>
        <v>160.11</v>
      </c>
      <c r="AQ6" s="1">
        <v>0</v>
      </c>
      <c r="AR6" s="1">
        <f t="shared" si="11"/>
        <v>0</v>
      </c>
      <c r="BG6" s="2">
        <v>0</v>
      </c>
      <c r="BH6" s="1">
        <f t="shared" si="12"/>
        <v>0</v>
      </c>
      <c r="BI6" s="2">
        <v>0</v>
      </c>
      <c r="BJ6" s="1">
        <f t="shared" si="13"/>
        <v>0</v>
      </c>
      <c r="BK6" s="2">
        <v>0</v>
      </c>
      <c r="BL6" s="1">
        <f t="shared" si="14"/>
        <v>0</v>
      </c>
      <c r="BN6" s="1">
        <f t="shared" si="15"/>
        <v>0</v>
      </c>
      <c r="BS6" s="4"/>
      <c r="BT6" s="1">
        <f t="shared" si="16"/>
        <v>0</v>
      </c>
      <c r="BV6" s="4"/>
      <c r="BW6" s="4"/>
      <c r="BY6" s="1">
        <f t="shared" ref="BY6:BY26" si="17">BX6*C6</f>
        <v>0</v>
      </c>
    </row>
    <row r="7" ht="30" spans="1:77">
      <c r="A7" s="1" t="s">
        <v>3</v>
      </c>
      <c r="B7" s="1" t="s">
        <v>13</v>
      </c>
      <c r="C7" s="1">
        <v>17.79</v>
      </c>
      <c r="D7" s="1">
        <v>14</v>
      </c>
      <c r="E7" s="1">
        <f t="shared" si="0"/>
        <v>249.06</v>
      </c>
      <c r="J7" s="1">
        <v>0</v>
      </c>
      <c r="K7" s="1">
        <f t="shared" si="1"/>
        <v>0</v>
      </c>
      <c r="L7" s="4"/>
      <c r="N7" s="4">
        <v>7</v>
      </c>
      <c r="O7" s="1">
        <f>N7*C7</f>
        <v>124.53</v>
      </c>
      <c r="P7" s="1">
        <v>14</v>
      </c>
      <c r="Q7" s="1">
        <f t="shared" si="2"/>
        <v>249.06</v>
      </c>
      <c r="S7" s="1">
        <v>21</v>
      </c>
      <c r="T7" s="1">
        <f t="shared" si="3"/>
        <v>373.59</v>
      </c>
      <c r="V7" s="1">
        <v>0</v>
      </c>
      <c r="W7" s="1">
        <f t="shared" si="4"/>
        <v>0</v>
      </c>
      <c r="Y7" s="1">
        <v>5</v>
      </c>
      <c r="Z7" s="1">
        <f t="shared" si="5"/>
        <v>88.95</v>
      </c>
      <c r="AB7" s="1">
        <v>18</v>
      </c>
      <c r="AC7" s="1">
        <f t="shared" si="6"/>
        <v>320.22</v>
      </c>
      <c r="AE7" s="1">
        <v>6</v>
      </c>
      <c r="AF7" s="1">
        <f t="shared" si="7"/>
        <v>106.74</v>
      </c>
      <c r="AH7" s="1">
        <v>9</v>
      </c>
      <c r="AI7" s="1">
        <f t="shared" si="8"/>
        <v>160.11</v>
      </c>
      <c r="AK7" s="1">
        <v>24</v>
      </c>
      <c r="AL7" s="1">
        <f t="shared" si="9"/>
        <v>426.96</v>
      </c>
      <c r="AN7" s="1">
        <v>21</v>
      </c>
      <c r="AO7" s="1">
        <f t="shared" si="10"/>
        <v>373.59</v>
      </c>
      <c r="AQ7" s="1">
        <v>44</v>
      </c>
      <c r="AR7" s="1">
        <f t="shared" si="11"/>
        <v>782.76</v>
      </c>
      <c r="BG7" s="2">
        <v>7</v>
      </c>
      <c r="BH7" s="1">
        <f t="shared" si="12"/>
        <v>124.53</v>
      </c>
      <c r="BI7" s="2">
        <v>2</v>
      </c>
      <c r="BJ7" s="1">
        <f t="shared" si="13"/>
        <v>35.58</v>
      </c>
      <c r="BK7" s="2">
        <v>9</v>
      </c>
      <c r="BL7" s="1">
        <f t="shared" si="14"/>
        <v>160.11</v>
      </c>
      <c r="BN7" s="1">
        <f t="shared" si="15"/>
        <v>18</v>
      </c>
      <c r="BO7" s="5" t="s">
        <v>311</v>
      </c>
      <c r="BP7" s="5" t="s">
        <v>312</v>
      </c>
      <c r="BQ7" s="6">
        <v>289.18</v>
      </c>
      <c r="BR7" s="5" t="s">
        <v>313</v>
      </c>
      <c r="BS7" s="4"/>
      <c r="BT7" s="1">
        <f t="shared" si="16"/>
        <v>0</v>
      </c>
      <c r="BV7" s="4"/>
      <c r="BW7" s="4"/>
      <c r="BY7" s="1">
        <f t="shared" si="17"/>
        <v>0</v>
      </c>
    </row>
    <row r="8" spans="1:77">
      <c r="A8" s="1" t="s">
        <v>3</v>
      </c>
      <c r="B8" s="1" t="s">
        <v>14</v>
      </c>
      <c r="C8" s="1">
        <v>17.79</v>
      </c>
      <c r="D8" s="1">
        <v>0</v>
      </c>
      <c r="E8" s="1">
        <f t="shared" si="0"/>
        <v>0</v>
      </c>
      <c r="J8" s="1">
        <v>0</v>
      </c>
      <c r="K8" s="1">
        <f t="shared" si="1"/>
        <v>0</v>
      </c>
      <c r="L8" s="4"/>
      <c r="N8" s="4"/>
      <c r="P8" s="1">
        <v>0</v>
      </c>
      <c r="Q8" s="1">
        <f t="shared" si="2"/>
        <v>0</v>
      </c>
      <c r="S8" s="1">
        <v>0</v>
      </c>
      <c r="T8" s="1">
        <f t="shared" si="3"/>
        <v>0</v>
      </c>
      <c r="V8" s="1">
        <v>6</v>
      </c>
      <c r="W8" s="1">
        <f t="shared" si="4"/>
        <v>106.74</v>
      </c>
      <c r="Y8" s="1">
        <v>0</v>
      </c>
      <c r="Z8" s="1">
        <f t="shared" si="5"/>
        <v>0</v>
      </c>
      <c r="AB8" s="1">
        <v>0</v>
      </c>
      <c r="AC8" s="1">
        <f t="shared" si="6"/>
        <v>0</v>
      </c>
      <c r="AE8" s="1">
        <v>3</v>
      </c>
      <c r="AF8" s="1">
        <f t="shared" si="7"/>
        <v>53.37</v>
      </c>
      <c r="AH8" s="1">
        <v>0</v>
      </c>
      <c r="AI8" s="1">
        <f t="shared" si="8"/>
        <v>0</v>
      </c>
      <c r="AK8" s="1">
        <v>0</v>
      </c>
      <c r="AL8" s="1">
        <f t="shared" si="9"/>
        <v>0</v>
      </c>
      <c r="AN8" s="1">
        <v>0</v>
      </c>
      <c r="AO8" s="1">
        <f t="shared" si="10"/>
        <v>0</v>
      </c>
      <c r="AQ8" s="1">
        <v>0</v>
      </c>
      <c r="AR8" s="1">
        <f t="shared" si="11"/>
        <v>0</v>
      </c>
      <c r="BG8" s="2">
        <v>0</v>
      </c>
      <c r="BH8" s="1">
        <f t="shared" si="12"/>
        <v>0</v>
      </c>
      <c r="BI8" s="2">
        <v>0</v>
      </c>
      <c r="BJ8" s="1">
        <f t="shared" si="13"/>
        <v>0</v>
      </c>
      <c r="BK8" s="2">
        <v>0</v>
      </c>
      <c r="BL8" s="1">
        <f t="shared" si="14"/>
        <v>0</v>
      </c>
      <c r="BN8" s="1">
        <f t="shared" si="15"/>
        <v>0</v>
      </c>
      <c r="BS8" s="4"/>
      <c r="BT8" s="1">
        <f t="shared" si="16"/>
        <v>0</v>
      </c>
      <c r="BV8" s="4"/>
      <c r="BW8" s="4"/>
      <c r="BY8" s="1">
        <f t="shared" si="17"/>
        <v>0</v>
      </c>
    </row>
    <row r="9" spans="1:77">
      <c r="A9" s="1" t="s">
        <v>3</v>
      </c>
      <c r="B9" s="1" t="s">
        <v>15</v>
      </c>
      <c r="C9" s="1">
        <v>17.79</v>
      </c>
      <c r="D9" s="1">
        <v>0</v>
      </c>
      <c r="E9" s="1">
        <f t="shared" si="0"/>
        <v>0</v>
      </c>
      <c r="J9" s="1">
        <v>0</v>
      </c>
      <c r="K9" s="1">
        <f t="shared" si="1"/>
        <v>0</v>
      </c>
      <c r="L9" s="4"/>
      <c r="N9" s="4"/>
      <c r="P9" s="1">
        <v>0</v>
      </c>
      <c r="Q9" s="1">
        <f t="shared" si="2"/>
        <v>0</v>
      </c>
      <c r="S9" s="1">
        <v>0</v>
      </c>
      <c r="T9" s="1">
        <f t="shared" si="3"/>
        <v>0</v>
      </c>
      <c r="V9" s="1">
        <v>9</v>
      </c>
      <c r="W9" s="1">
        <f t="shared" si="4"/>
        <v>160.11</v>
      </c>
      <c r="Y9" s="1">
        <v>3</v>
      </c>
      <c r="Z9" s="1">
        <f t="shared" si="5"/>
        <v>53.37</v>
      </c>
      <c r="AB9" s="1">
        <v>0</v>
      </c>
      <c r="AC9" s="1">
        <f t="shared" si="6"/>
        <v>0</v>
      </c>
      <c r="AE9" s="1">
        <v>13</v>
      </c>
      <c r="AF9" s="1">
        <f t="shared" si="7"/>
        <v>231.27</v>
      </c>
      <c r="AH9" s="1">
        <v>3</v>
      </c>
      <c r="AI9" s="1">
        <f t="shared" si="8"/>
        <v>53.37</v>
      </c>
      <c r="AK9" s="1">
        <v>0</v>
      </c>
      <c r="AL9" s="1">
        <f t="shared" si="9"/>
        <v>0</v>
      </c>
      <c r="AN9" s="1">
        <v>3</v>
      </c>
      <c r="AO9" s="1">
        <f t="shared" si="10"/>
        <v>53.37</v>
      </c>
      <c r="AQ9" s="1">
        <v>0</v>
      </c>
      <c r="AR9" s="1">
        <f t="shared" si="11"/>
        <v>0</v>
      </c>
      <c r="BG9" s="2">
        <v>0</v>
      </c>
      <c r="BH9" s="1">
        <f t="shared" si="12"/>
        <v>0</v>
      </c>
      <c r="BI9" s="2">
        <v>0</v>
      </c>
      <c r="BJ9" s="1">
        <f t="shared" si="13"/>
        <v>0</v>
      </c>
      <c r="BK9" s="2">
        <v>0</v>
      </c>
      <c r="BL9" s="1">
        <f t="shared" si="14"/>
        <v>0</v>
      </c>
      <c r="BN9" s="1">
        <f t="shared" si="15"/>
        <v>0</v>
      </c>
      <c r="BS9" s="4"/>
      <c r="BT9" s="1">
        <f t="shared" si="16"/>
        <v>0</v>
      </c>
      <c r="BV9" s="4"/>
      <c r="BW9" s="4"/>
      <c r="BY9" s="1">
        <f t="shared" si="17"/>
        <v>0</v>
      </c>
    </row>
    <row r="10" ht="30" spans="1:77">
      <c r="A10" s="1" t="s">
        <v>3</v>
      </c>
      <c r="B10" s="1" t="s">
        <v>16</v>
      </c>
      <c r="C10" s="1">
        <v>14.95</v>
      </c>
      <c r="D10" s="1">
        <v>268</v>
      </c>
      <c r="E10" s="1">
        <f t="shared" si="0"/>
        <v>4006.6</v>
      </c>
      <c r="J10" s="1">
        <v>234</v>
      </c>
      <c r="K10" s="1">
        <f t="shared" si="1"/>
        <v>3498.3</v>
      </c>
      <c r="L10" s="4">
        <v>3</v>
      </c>
      <c r="M10" s="1">
        <f>L10*C10</f>
        <v>44.85</v>
      </c>
      <c r="N10" s="4"/>
      <c r="P10" s="1">
        <v>34</v>
      </c>
      <c r="Q10" s="1">
        <f t="shared" si="2"/>
        <v>508.3</v>
      </c>
      <c r="S10" s="1">
        <v>428</v>
      </c>
      <c r="T10" s="1">
        <f t="shared" si="3"/>
        <v>6398.6</v>
      </c>
      <c r="V10" s="1">
        <v>164</v>
      </c>
      <c r="W10" s="1">
        <f t="shared" si="4"/>
        <v>2451.8</v>
      </c>
      <c r="Y10" s="1">
        <v>175</v>
      </c>
      <c r="Z10" s="1">
        <f t="shared" si="5"/>
        <v>2616.25</v>
      </c>
      <c r="AB10" s="1">
        <v>382</v>
      </c>
      <c r="AC10" s="1">
        <f t="shared" si="6"/>
        <v>5710.9</v>
      </c>
      <c r="AE10" s="1">
        <v>0</v>
      </c>
      <c r="AF10" s="1">
        <f t="shared" si="7"/>
        <v>0</v>
      </c>
      <c r="AH10" s="1">
        <v>295</v>
      </c>
      <c r="AI10" s="1">
        <f t="shared" si="8"/>
        <v>4410.25</v>
      </c>
      <c r="AK10" s="1">
        <v>352</v>
      </c>
      <c r="AL10" s="1">
        <f t="shared" si="9"/>
        <v>5262.4</v>
      </c>
      <c r="AN10" s="1">
        <v>89</v>
      </c>
      <c r="AO10" s="1">
        <f t="shared" si="10"/>
        <v>1330.55</v>
      </c>
      <c r="AQ10" s="1">
        <v>303</v>
      </c>
      <c r="AR10" s="1">
        <f t="shared" si="11"/>
        <v>4529.85</v>
      </c>
      <c r="BG10" s="2">
        <v>219</v>
      </c>
      <c r="BH10" s="1">
        <f t="shared" si="12"/>
        <v>3274.05</v>
      </c>
      <c r="BI10" s="2">
        <v>140</v>
      </c>
      <c r="BJ10" s="1">
        <f t="shared" si="13"/>
        <v>2093</v>
      </c>
      <c r="BK10" s="2">
        <v>23</v>
      </c>
      <c r="BL10" s="1">
        <f t="shared" si="14"/>
        <v>343.85</v>
      </c>
      <c r="BN10" s="1">
        <f t="shared" si="15"/>
        <v>382</v>
      </c>
      <c r="BO10" s="5" t="s">
        <v>314</v>
      </c>
      <c r="BP10" s="5" t="s">
        <v>315</v>
      </c>
      <c r="BQ10" s="6">
        <v>246.97</v>
      </c>
      <c r="BR10" s="5" t="s">
        <v>316</v>
      </c>
      <c r="BS10" s="4">
        <v>3</v>
      </c>
      <c r="BT10" s="1">
        <f t="shared" si="16"/>
        <v>44.85</v>
      </c>
      <c r="BV10" s="4">
        <v>4</v>
      </c>
      <c r="BW10" s="4">
        <v>1</v>
      </c>
      <c r="BX10" s="1">
        <f>BW10+BV10</f>
        <v>5</v>
      </c>
      <c r="BY10" s="1">
        <f t="shared" si="17"/>
        <v>74.75</v>
      </c>
    </row>
    <row r="11" ht="30" spans="1:77">
      <c r="A11" s="1" t="s">
        <v>3</v>
      </c>
      <c r="B11" s="1" t="s">
        <v>17</v>
      </c>
      <c r="C11" s="1">
        <v>15.59</v>
      </c>
      <c r="D11" s="1">
        <v>94</v>
      </c>
      <c r="E11" s="1">
        <f t="shared" si="0"/>
        <v>1465.46</v>
      </c>
      <c r="J11" s="1">
        <v>78</v>
      </c>
      <c r="K11" s="1">
        <f t="shared" si="1"/>
        <v>1216.02</v>
      </c>
      <c r="L11" s="4">
        <v>1</v>
      </c>
      <c r="M11" s="1">
        <f t="shared" ref="M11:M32" si="18">L11*C11</f>
        <v>15.59</v>
      </c>
      <c r="N11" s="4"/>
      <c r="P11" s="1">
        <v>16</v>
      </c>
      <c r="Q11" s="1">
        <f t="shared" si="2"/>
        <v>249.44</v>
      </c>
      <c r="S11" s="1">
        <v>103</v>
      </c>
      <c r="T11" s="1">
        <f t="shared" si="3"/>
        <v>1605.77</v>
      </c>
      <c r="V11" s="1">
        <v>56</v>
      </c>
      <c r="W11" s="1">
        <f t="shared" si="4"/>
        <v>873.04</v>
      </c>
      <c r="Y11" s="1">
        <v>27</v>
      </c>
      <c r="Z11" s="1">
        <f t="shared" si="5"/>
        <v>420.93</v>
      </c>
      <c r="AB11" s="1">
        <v>89</v>
      </c>
      <c r="AC11" s="1">
        <f t="shared" si="6"/>
        <v>1387.51</v>
      </c>
      <c r="AE11" s="1">
        <v>0</v>
      </c>
      <c r="AF11" s="1">
        <f t="shared" si="7"/>
        <v>0</v>
      </c>
      <c r="AH11" s="1">
        <v>90</v>
      </c>
      <c r="AI11" s="1">
        <f t="shared" si="8"/>
        <v>1403.1</v>
      </c>
      <c r="AK11" s="1">
        <v>100</v>
      </c>
      <c r="AL11" s="1">
        <f t="shared" si="9"/>
        <v>1559</v>
      </c>
      <c r="AN11" s="1">
        <v>28</v>
      </c>
      <c r="AO11" s="1">
        <f t="shared" si="10"/>
        <v>436.52</v>
      </c>
      <c r="AQ11" s="1">
        <v>81</v>
      </c>
      <c r="AR11" s="1">
        <f t="shared" si="11"/>
        <v>1262.79</v>
      </c>
      <c r="BG11" s="2">
        <v>69</v>
      </c>
      <c r="BH11" s="1">
        <f t="shared" si="12"/>
        <v>1075.71</v>
      </c>
      <c r="BI11" s="2">
        <v>20</v>
      </c>
      <c r="BJ11" s="1">
        <f t="shared" si="13"/>
        <v>311.8</v>
      </c>
      <c r="BK11" s="2">
        <v>0</v>
      </c>
      <c r="BL11" s="1">
        <f t="shared" si="14"/>
        <v>0</v>
      </c>
      <c r="BN11" s="1">
        <f t="shared" si="15"/>
        <v>89</v>
      </c>
      <c r="BO11" s="5" t="s">
        <v>317</v>
      </c>
      <c r="BP11" s="5" t="s">
        <v>318</v>
      </c>
      <c r="BQ11" s="6">
        <v>255.48</v>
      </c>
      <c r="BR11" s="5" t="s">
        <v>319</v>
      </c>
      <c r="BS11" s="4"/>
      <c r="BT11" s="1">
        <f t="shared" si="16"/>
        <v>0</v>
      </c>
      <c r="BV11" s="4"/>
      <c r="BW11" s="4"/>
      <c r="BY11" s="1">
        <f t="shared" si="17"/>
        <v>0</v>
      </c>
    </row>
    <row r="12" ht="30" spans="1:77">
      <c r="A12" s="1" t="s">
        <v>3</v>
      </c>
      <c r="B12" s="1" t="s">
        <v>18</v>
      </c>
      <c r="C12" s="1">
        <v>15.46</v>
      </c>
      <c r="D12" s="1">
        <v>7</v>
      </c>
      <c r="E12" s="1">
        <f t="shared" si="0"/>
        <v>108.22</v>
      </c>
      <c r="J12" s="1">
        <v>0</v>
      </c>
      <c r="K12" s="1">
        <f t="shared" si="1"/>
        <v>0</v>
      </c>
      <c r="L12" s="4"/>
      <c r="M12" s="1">
        <f t="shared" si="18"/>
        <v>0</v>
      </c>
      <c r="N12" s="4"/>
      <c r="P12" s="1">
        <v>7</v>
      </c>
      <c r="Q12" s="1">
        <f t="shared" si="2"/>
        <v>108.22</v>
      </c>
      <c r="S12" s="1">
        <v>0</v>
      </c>
      <c r="T12" s="1">
        <f t="shared" si="3"/>
        <v>0</v>
      </c>
      <c r="V12" s="1">
        <v>24</v>
      </c>
      <c r="W12" s="1">
        <f t="shared" si="4"/>
        <v>371.04</v>
      </c>
      <c r="Y12" s="1">
        <v>53</v>
      </c>
      <c r="Z12" s="1">
        <f t="shared" si="5"/>
        <v>819.38</v>
      </c>
      <c r="AB12" s="1">
        <v>4</v>
      </c>
      <c r="AC12" s="1">
        <f t="shared" si="6"/>
        <v>61.84</v>
      </c>
      <c r="AE12" s="1">
        <v>21</v>
      </c>
      <c r="AF12" s="1">
        <f t="shared" si="7"/>
        <v>324.66</v>
      </c>
      <c r="AH12" s="1">
        <v>7</v>
      </c>
      <c r="AI12" s="1">
        <f t="shared" si="8"/>
        <v>108.22</v>
      </c>
      <c r="AK12" s="1">
        <v>9</v>
      </c>
      <c r="AL12" s="1">
        <f t="shared" si="9"/>
        <v>139.14</v>
      </c>
      <c r="AN12" s="1">
        <v>19</v>
      </c>
      <c r="AO12" s="1">
        <f t="shared" si="10"/>
        <v>293.74</v>
      </c>
      <c r="AQ12" s="1">
        <v>3</v>
      </c>
      <c r="AR12" s="1">
        <f t="shared" si="11"/>
        <v>46.38</v>
      </c>
      <c r="BG12" s="2">
        <v>0</v>
      </c>
      <c r="BH12" s="1">
        <f t="shared" si="12"/>
        <v>0</v>
      </c>
      <c r="BI12" s="2">
        <v>0</v>
      </c>
      <c r="BJ12" s="1">
        <f t="shared" si="13"/>
        <v>0</v>
      </c>
      <c r="BK12" s="2">
        <v>4</v>
      </c>
      <c r="BL12" s="1">
        <f t="shared" si="14"/>
        <v>61.84</v>
      </c>
      <c r="BN12" s="1">
        <f t="shared" si="15"/>
        <v>4</v>
      </c>
      <c r="BO12" s="5" t="s">
        <v>320</v>
      </c>
      <c r="BP12" s="5" t="s">
        <v>321</v>
      </c>
      <c r="BQ12" s="6">
        <v>253.53</v>
      </c>
      <c r="BR12" s="5" t="s">
        <v>322</v>
      </c>
      <c r="BS12" s="4"/>
      <c r="BT12" s="1">
        <f t="shared" si="16"/>
        <v>0</v>
      </c>
      <c r="BV12" s="4"/>
      <c r="BW12" s="4"/>
      <c r="BY12" s="1">
        <f t="shared" si="17"/>
        <v>0</v>
      </c>
    </row>
    <row r="13" spans="1:77">
      <c r="A13" s="1" t="s">
        <v>3</v>
      </c>
      <c r="B13" s="1" t="s">
        <v>19</v>
      </c>
      <c r="C13" s="1">
        <v>15.46</v>
      </c>
      <c r="D13" s="1">
        <v>3</v>
      </c>
      <c r="E13" s="1">
        <f t="shared" si="0"/>
        <v>46.38</v>
      </c>
      <c r="J13" s="1">
        <v>0</v>
      </c>
      <c r="K13" s="1">
        <f t="shared" si="1"/>
        <v>0</v>
      </c>
      <c r="L13" s="4"/>
      <c r="M13" s="1">
        <f t="shared" si="18"/>
        <v>0</v>
      </c>
      <c r="N13" s="4"/>
      <c r="P13" s="1">
        <v>3</v>
      </c>
      <c r="Q13" s="1">
        <f t="shared" si="2"/>
        <v>46.38</v>
      </c>
      <c r="S13" s="1">
        <v>0</v>
      </c>
      <c r="T13" s="1">
        <f t="shared" si="3"/>
        <v>0</v>
      </c>
      <c r="V13" s="1">
        <v>6</v>
      </c>
      <c r="W13" s="1">
        <f t="shared" si="4"/>
        <v>92.76</v>
      </c>
      <c r="Y13" s="1">
        <v>7</v>
      </c>
      <c r="Z13" s="1">
        <f t="shared" si="5"/>
        <v>108.22</v>
      </c>
      <c r="AB13" s="1">
        <v>0</v>
      </c>
      <c r="AC13" s="1">
        <f t="shared" si="6"/>
        <v>0</v>
      </c>
      <c r="AE13" s="1">
        <v>2</v>
      </c>
      <c r="AF13" s="1">
        <f t="shared" si="7"/>
        <v>30.92</v>
      </c>
      <c r="AH13" s="1">
        <v>2</v>
      </c>
      <c r="AI13" s="1">
        <f t="shared" si="8"/>
        <v>30.92</v>
      </c>
      <c r="AK13" s="1">
        <v>1</v>
      </c>
      <c r="AL13" s="1">
        <f t="shared" si="9"/>
        <v>15.46</v>
      </c>
      <c r="AN13" s="1">
        <v>4</v>
      </c>
      <c r="AO13" s="1">
        <f t="shared" si="10"/>
        <v>61.84</v>
      </c>
      <c r="AQ13" s="1">
        <v>1</v>
      </c>
      <c r="AR13" s="1">
        <f t="shared" si="11"/>
        <v>15.46</v>
      </c>
      <c r="BG13" s="2">
        <v>0</v>
      </c>
      <c r="BH13" s="1">
        <f t="shared" si="12"/>
        <v>0</v>
      </c>
      <c r="BI13" s="2">
        <v>0</v>
      </c>
      <c r="BJ13" s="1">
        <f t="shared" si="13"/>
        <v>0</v>
      </c>
      <c r="BK13" s="2">
        <v>0</v>
      </c>
      <c r="BL13" s="1">
        <f t="shared" si="14"/>
        <v>0</v>
      </c>
      <c r="BN13" s="1">
        <f t="shared" si="15"/>
        <v>0</v>
      </c>
      <c r="BS13" s="4"/>
      <c r="BT13" s="1">
        <f t="shared" si="16"/>
        <v>0</v>
      </c>
      <c r="BV13" s="4"/>
      <c r="BW13" s="4"/>
      <c r="BY13" s="1">
        <f t="shared" si="17"/>
        <v>0</v>
      </c>
    </row>
    <row r="14" ht="30" spans="1:77">
      <c r="A14" s="1" t="s">
        <v>3</v>
      </c>
      <c r="B14" s="1" t="s">
        <v>20</v>
      </c>
      <c r="C14" s="1">
        <v>15.21</v>
      </c>
      <c r="D14" s="1">
        <v>112</v>
      </c>
      <c r="E14" s="1">
        <f t="shared" si="0"/>
        <v>1703.52</v>
      </c>
      <c r="J14" s="1">
        <v>0</v>
      </c>
      <c r="K14" s="1">
        <f t="shared" si="1"/>
        <v>0</v>
      </c>
      <c r="L14" s="4"/>
      <c r="M14" s="1">
        <f t="shared" si="18"/>
        <v>0</v>
      </c>
      <c r="N14" s="4"/>
      <c r="P14" s="1">
        <v>112</v>
      </c>
      <c r="Q14" s="1">
        <f t="shared" si="2"/>
        <v>1703.52</v>
      </c>
      <c r="S14" s="1">
        <v>16</v>
      </c>
      <c r="T14" s="1">
        <f t="shared" si="3"/>
        <v>243.36</v>
      </c>
      <c r="V14" s="1">
        <v>102</v>
      </c>
      <c r="W14" s="1">
        <f t="shared" si="4"/>
        <v>1551.42</v>
      </c>
      <c r="Y14" s="1">
        <v>114</v>
      </c>
      <c r="Z14" s="1">
        <f t="shared" si="5"/>
        <v>1733.94</v>
      </c>
      <c r="AB14" s="1">
        <v>33</v>
      </c>
      <c r="AC14" s="1">
        <f t="shared" si="6"/>
        <v>501.93</v>
      </c>
      <c r="AE14" s="1">
        <v>174</v>
      </c>
      <c r="AF14" s="1">
        <f t="shared" si="7"/>
        <v>2646.54</v>
      </c>
      <c r="AH14" s="1">
        <v>78</v>
      </c>
      <c r="AI14" s="1">
        <f t="shared" si="8"/>
        <v>1186.38</v>
      </c>
      <c r="AK14" s="1">
        <v>52</v>
      </c>
      <c r="AL14" s="1">
        <f t="shared" si="9"/>
        <v>790.92</v>
      </c>
      <c r="AN14" s="1">
        <v>138</v>
      </c>
      <c r="AO14" s="1">
        <f t="shared" si="10"/>
        <v>2098.98</v>
      </c>
      <c r="AQ14" s="1">
        <v>50</v>
      </c>
      <c r="AR14" s="1">
        <f t="shared" si="11"/>
        <v>760.5</v>
      </c>
      <c r="BG14" s="2">
        <v>0</v>
      </c>
      <c r="BH14" s="1">
        <f t="shared" si="12"/>
        <v>0</v>
      </c>
      <c r="BI14" s="2">
        <v>2</v>
      </c>
      <c r="BJ14" s="1">
        <f t="shared" si="13"/>
        <v>30.42</v>
      </c>
      <c r="BK14" s="2">
        <v>31</v>
      </c>
      <c r="BL14" s="1">
        <f t="shared" si="14"/>
        <v>471.51</v>
      </c>
      <c r="BN14" s="1">
        <f t="shared" si="15"/>
        <v>33</v>
      </c>
      <c r="BO14" s="5" t="s">
        <v>323</v>
      </c>
      <c r="BP14" s="5" t="s">
        <v>324</v>
      </c>
      <c r="BQ14" s="6">
        <v>250.25</v>
      </c>
      <c r="BR14" s="5" t="s">
        <v>325</v>
      </c>
      <c r="BS14" s="4"/>
      <c r="BT14" s="1">
        <f t="shared" si="16"/>
        <v>0</v>
      </c>
      <c r="BV14" s="4"/>
      <c r="BW14" s="4"/>
      <c r="BY14" s="1">
        <f t="shared" si="17"/>
        <v>0</v>
      </c>
    </row>
    <row r="15" ht="30" spans="1:77">
      <c r="A15" s="1" t="s">
        <v>3</v>
      </c>
      <c r="B15" s="1" t="s">
        <v>21</v>
      </c>
      <c r="C15" s="1">
        <v>14.95</v>
      </c>
      <c r="D15" s="1">
        <v>136</v>
      </c>
      <c r="E15" s="1">
        <f t="shared" si="0"/>
        <v>2033.2</v>
      </c>
      <c r="J15" s="1">
        <v>0</v>
      </c>
      <c r="K15" s="1">
        <f t="shared" si="1"/>
        <v>0</v>
      </c>
      <c r="L15" s="4"/>
      <c r="M15" s="1">
        <f t="shared" si="18"/>
        <v>0</v>
      </c>
      <c r="N15" s="4"/>
      <c r="P15" s="1">
        <v>136</v>
      </c>
      <c r="Q15" s="1">
        <f t="shared" si="2"/>
        <v>2033.2</v>
      </c>
      <c r="S15" s="1">
        <v>28</v>
      </c>
      <c r="T15" s="1">
        <f t="shared" si="3"/>
        <v>418.6</v>
      </c>
      <c r="V15" s="1">
        <v>216</v>
      </c>
      <c r="W15" s="1">
        <f t="shared" si="4"/>
        <v>3229.2</v>
      </c>
      <c r="Y15" s="1">
        <v>227</v>
      </c>
      <c r="Z15" s="1">
        <f t="shared" si="5"/>
        <v>3393.65</v>
      </c>
      <c r="AB15" s="1">
        <v>70</v>
      </c>
      <c r="AC15" s="1">
        <f t="shared" si="6"/>
        <v>1046.5</v>
      </c>
      <c r="AE15" s="1">
        <v>355</v>
      </c>
      <c r="AF15" s="1">
        <f t="shared" si="7"/>
        <v>5307.25</v>
      </c>
      <c r="AH15" s="1">
        <v>149</v>
      </c>
      <c r="AI15" s="1">
        <f t="shared" si="8"/>
        <v>2227.55</v>
      </c>
      <c r="AK15" s="1">
        <v>102</v>
      </c>
      <c r="AL15" s="1">
        <f t="shared" si="9"/>
        <v>1524.9</v>
      </c>
      <c r="AN15" s="1">
        <v>277</v>
      </c>
      <c r="AO15" s="1">
        <f t="shared" si="10"/>
        <v>4141.15</v>
      </c>
      <c r="AQ15" s="1">
        <v>102</v>
      </c>
      <c r="AR15" s="1">
        <f t="shared" si="11"/>
        <v>1524.9</v>
      </c>
      <c r="BG15" s="2">
        <v>0</v>
      </c>
      <c r="BH15" s="1">
        <f t="shared" si="12"/>
        <v>0</v>
      </c>
      <c r="BI15" s="2">
        <v>4</v>
      </c>
      <c r="BJ15" s="1">
        <f t="shared" si="13"/>
        <v>59.8</v>
      </c>
      <c r="BK15" s="2">
        <v>66</v>
      </c>
      <c r="BL15" s="1">
        <f t="shared" si="14"/>
        <v>986.7</v>
      </c>
      <c r="BN15" s="1">
        <f t="shared" si="15"/>
        <v>70</v>
      </c>
      <c r="BO15" s="5" t="s">
        <v>326</v>
      </c>
      <c r="BP15" s="5" t="s">
        <v>327</v>
      </c>
      <c r="BQ15" s="6">
        <v>246.97</v>
      </c>
      <c r="BR15" s="5" t="s">
        <v>328</v>
      </c>
      <c r="BS15" s="4"/>
      <c r="BT15" s="1">
        <f t="shared" si="16"/>
        <v>0</v>
      </c>
      <c r="BV15" s="4"/>
      <c r="BW15" s="4"/>
      <c r="BY15" s="1">
        <f t="shared" si="17"/>
        <v>0</v>
      </c>
    </row>
    <row r="16" ht="30" spans="1:77">
      <c r="A16" s="1" t="s">
        <v>3</v>
      </c>
      <c r="B16" s="1" t="s">
        <v>22</v>
      </c>
      <c r="C16" s="1">
        <v>15.46</v>
      </c>
      <c r="D16" s="1">
        <v>30</v>
      </c>
      <c r="E16" s="1">
        <f t="shared" si="0"/>
        <v>463.8</v>
      </c>
      <c r="J16" s="1">
        <v>0</v>
      </c>
      <c r="K16" s="1">
        <f t="shared" si="1"/>
        <v>0</v>
      </c>
      <c r="L16" s="4"/>
      <c r="M16" s="1">
        <f t="shared" si="18"/>
        <v>0</v>
      </c>
      <c r="N16" s="4"/>
      <c r="P16" s="1">
        <v>30</v>
      </c>
      <c r="Q16" s="1">
        <f t="shared" si="2"/>
        <v>463.8</v>
      </c>
      <c r="S16" s="1">
        <v>32</v>
      </c>
      <c r="T16" s="1">
        <f t="shared" si="3"/>
        <v>494.72</v>
      </c>
      <c r="V16" s="1">
        <v>40</v>
      </c>
      <c r="W16" s="1">
        <f t="shared" si="4"/>
        <v>618.4</v>
      </c>
      <c r="Y16" s="1">
        <v>4</v>
      </c>
      <c r="Z16" s="1">
        <f t="shared" si="5"/>
        <v>61.84</v>
      </c>
      <c r="AB16" s="1">
        <v>27</v>
      </c>
      <c r="AC16" s="1">
        <f t="shared" si="6"/>
        <v>417.42</v>
      </c>
      <c r="AE16" s="1">
        <v>0</v>
      </c>
      <c r="AF16" s="1">
        <f t="shared" si="7"/>
        <v>0</v>
      </c>
      <c r="AH16" s="1">
        <v>16</v>
      </c>
      <c r="AI16" s="1">
        <f t="shared" si="8"/>
        <v>247.36</v>
      </c>
      <c r="AK16" s="1">
        <v>20</v>
      </c>
      <c r="AL16" s="1">
        <f t="shared" si="9"/>
        <v>309.2</v>
      </c>
      <c r="AN16" s="1">
        <v>20</v>
      </c>
      <c r="AO16" s="1">
        <f t="shared" si="10"/>
        <v>309.2</v>
      </c>
      <c r="AQ16" s="1">
        <v>30</v>
      </c>
      <c r="AR16" s="1">
        <f t="shared" si="11"/>
        <v>463.8</v>
      </c>
      <c r="BG16" s="2">
        <v>8</v>
      </c>
      <c r="BH16" s="1">
        <f t="shared" si="12"/>
        <v>123.68</v>
      </c>
      <c r="BI16" s="2">
        <v>13</v>
      </c>
      <c r="BJ16" s="1">
        <f t="shared" si="13"/>
        <v>200.98</v>
      </c>
      <c r="BK16" s="2">
        <v>6</v>
      </c>
      <c r="BL16" s="1">
        <f t="shared" si="14"/>
        <v>92.76</v>
      </c>
      <c r="BN16" s="1">
        <f t="shared" si="15"/>
        <v>27</v>
      </c>
      <c r="BO16" s="5" t="s">
        <v>329</v>
      </c>
      <c r="BP16" s="5" t="s">
        <v>330</v>
      </c>
      <c r="BQ16" s="6">
        <v>253.53</v>
      </c>
      <c r="BR16" s="5" t="s">
        <v>331</v>
      </c>
      <c r="BS16" s="4"/>
      <c r="BT16" s="1">
        <f t="shared" si="16"/>
        <v>0</v>
      </c>
      <c r="BV16" s="4"/>
      <c r="BW16" s="4"/>
      <c r="BY16" s="1">
        <f t="shared" si="17"/>
        <v>0</v>
      </c>
    </row>
    <row r="17" ht="30" spans="1:77">
      <c r="A17" s="1" t="s">
        <v>3</v>
      </c>
      <c r="B17" s="1" t="s">
        <v>23</v>
      </c>
      <c r="C17" s="1">
        <v>15.46</v>
      </c>
      <c r="D17" s="1">
        <v>0</v>
      </c>
      <c r="E17" s="1">
        <f t="shared" si="0"/>
        <v>0</v>
      </c>
      <c r="J17" s="1">
        <v>0</v>
      </c>
      <c r="K17" s="1">
        <f t="shared" si="1"/>
        <v>0</v>
      </c>
      <c r="L17" s="4"/>
      <c r="M17" s="1">
        <f t="shared" si="18"/>
        <v>0</v>
      </c>
      <c r="N17" s="4"/>
      <c r="P17" s="1">
        <v>0</v>
      </c>
      <c r="Q17" s="1">
        <f t="shared" si="2"/>
        <v>0</v>
      </c>
      <c r="S17" s="1">
        <v>12</v>
      </c>
      <c r="T17" s="1">
        <f t="shared" si="3"/>
        <v>185.52</v>
      </c>
      <c r="V17" s="1">
        <v>0</v>
      </c>
      <c r="W17" s="1">
        <f t="shared" si="4"/>
        <v>0</v>
      </c>
      <c r="Y17" s="1">
        <v>4</v>
      </c>
      <c r="Z17" s="1">
        <f t="shared" si="5"/>
        <v>61.84</v>
      </c>
      <c r="AB17" s="1">
        <v>12</v>
      </c>
      <c r="AC17" s="1">
        <f t="shared" si="6"/>
        <v>185.52</v>
      </c>
      <c r="AE17" s="1">
        <v>0</v>
      </c>
      <c r="AF17" s="1">
        <f t="shared" si="7"/>
        <v>0</v>
      </c>
      <c r="AH17" s="1">
        <v>6</v>
      </c>
      <c r="AI17" s="1">
        <f t="shared" si="8"/>
        <v>92.76</v>
      </c>
      <c r="AK17" s="1">
        <v>10</v>
      </c>
      <c r="AL17" s="1">
        <f t="shared" si="9"/>
        <v>154.6</v>
      </c>
      <c r="AN17" s="1">
        <v>0</v>
      </c>
      <c r="AO17" s="1">
        <f t="shared" si="10"/>
        <v>0</v>
      </c>
      <c r="AQ17" s="1">
        <v>13</v>
      </c>
      <c r="AR17" s="1">
        <f t="shared" si="11"/>
        <v>200.98</v>
      </c>
      <c r="BG17" s="2">
        <v>0</v>
      </c>
      <c r="BH17" s="1">
        <f t="shared" si="12"/>
        <v>0</v>
      </c>
      <c r="BI17" s="2">
        <v>6</v>
      </c>
      <c r="BJ17" s="1">
        <f t="shared" si="13"/>
        <v>92.76</v>
      </c>
      <c r="BK17" s="2">
        <v>6</v>
      </c>
      <c r="BL17" s="1">
        <f t="shared" si="14"/>
        <v>92.76</v>
      </c>
      <c r="BN17" s="1">
        <f t="shared" si="15"/>
        <v>12</v>
      </c>
      <c r="BO17" s="5" t="s">
        <v>332</v>
      </c>
      <c r="BP17" s="5" t="s">
        <v>333</v>
      </c>
      <c r="BQ17" s="6">
        <v>253.53</v>
      </c>
      <c r="BR17" s="5" t="s">
        <v>334</v>
      </c>
      <c r="BS17" s="4"/>
      <c r="BT17" s="1">
        <f t="shared" si="16"/>
        <v>0</v>
      </c>
      <c r="BV17" s="4"/>
      <c r="BW17" s="4"/>
      <c r="BY17" s="1">
        <f t="shared" si="17"/>
        <v>0</v>
      </c>
    </row>
    <row r="18" ht="30" spans="1:77">
      <c r="A18" s="1" t="s">
        <v>3</v>
      </c>
      <c r="B18" s="1" t="s">
        <v>24</v>
      </c>
      <c r="C18" s="1">
        <v>15.59</v>
      </c>
      <c r="D18" s="1">
        <v>0</v>
      </c>
      <c r="E18" s="1">
        <f t="shared" si="0"/>
        <v>0</v>
      </c>
      <c r="J18" s="1">
        <v>0</v>
      </c>
      <c r="K18" s="1">
        <f t="shared" si="1"/>
        <v>0</v>
      </c>
      <c r="L18" s="4"/>
      <c r="M18" s="1">
        <f t="shared" si="18"/>
        <v>0</v>
      </c>
      <c r="N18" s="4"/>
      <c r="P18" s="1">
        <v>0</v>
      </c>
      <c r="Q18" s="1">
        <f t="shared" si="2"/>
        <v>0</v>
      </c>
      <c r="S18" s="1">
        <v>0</v>
      </c>
      <c r="T18" s="1">
        <f t="shared" si="3"/>
        <v>0</v>
      </c>
      <c r="V18" s="1">
        <v>80</v>
      </c>
      <c r="W18" s="1">
        <f t="shared" si="4"/>
        <v>1247.2</v>
      </c>
      <c r="Y18" s="1">
        <v>93</v>
      </c>
      <c r="Z18" s="1">
        <f t="shared" si="5"/>
        <v>1449.87</v>
      </c>
      <c r="AB18" s="1">
        <v>25</v>
      </c>
      <c r="AC18" s="1">
        <f t="shared" si="6"/>
        <v>389.75</v>
      </c>
      <c r="AE18" s="1">
        <v>151</v>
      </c>
      <c r="AF18" s="1">
        <f t="shared" si="7"/>
        <v>2354.09</v>
      </c>
      <c r="AH18" s="1">
        <v>53</v>
      </c>
      <c r="AI18" s="1">
        <f t="shared" si="8"/>
        <v>826.27</v>
      </c>
      <c r="AK18" s="1">
        <v>40</v>
      </c>
      <c r="AL18" s="1">
        <f t="shared" si="9"/>
        <v>623.6</v>
      </c>
      <c r="AN18" s="1">
        <v>119</v>
      </c>
      <c r="AO18" s="1">
        <f t="shared" si="10"/>
        <v>1855.21</v>
      </c>
      <c r="AQ18" s="1">
        <v>42</v>
      </c>
      <c r="AR18" s="1">
        <f t="shared" si="11"/>
        <v>654.78</v>
      </c>
      <c r="BG18" s="2">
        <v>0</v>
      </c>
      <c r="BH18" s="1">
        <f t="shared" si="12"/>
        <v>0</v>
      </c>
      <c r="BI18" s="2">
        <v>0</v>
      </c>
      <c r="BJ18" s="1">
        <f t="shared" si="13"/>
        <v>0</v>
      </c>
      <c r="BK18" s="2">
        <v>25</v>
      </c>
      <c r="BL18" s="1">
        <f t="shared" si="14"/>
        <v>389.75</v>
      </c>
      <c r="BN18" s="1">
        <f t="shared" si="15"/>
        <v>25</v>
      </c>
      <c r="BO18" s="5" t="s">
        <v>335</v>
      </c>
      <c r="BP18" s="5" t="s">
        <v>336</v>
      </c>
      <c r="BQ18" s="6">
        <v>255.48</v>
      </c>
      <c r="BR18" s="5" t="s">
        <v>337</v>
      </c>
      <c r="BS18" s="4"/>
      <c r="BT18" s="1">
        <f t="shared" si="16"/>
        <v>0</v>
      </c>
      <c r="BV18" s="4"/>
      <c r="BW18" s="4"/>
      <c r="BY18" s="1">
        <f t="shared" si="17"/>
        <v>0</v>
      </c>
    </row>
    <row r="19" ht="30" spans="1:77">
      <c r="A19" s="1" t="s">
        <v>3</v>
      </c>
      <c r="B19" s="1" t="s">
        <v>25</v>
      </c>
      <c r="C19" s="1">
        <v>15.21</v>
      </c>
      <c r="D19" s="1">
        <v>0</v>
      </c>
      <c r="E19" s="1">
        <f t="shared" si="0"/>
        <v>0</v>
      </c>
      <c r="J19" s="1">
        <v>0</v>
      </c>
      <c r="K19" s="1">
        <f t="shared" si="1"/>
        <v>0</v>
      </c>
      <c r="L19" s="4"/>
      <c r="M19" s="1">
        <f t="shared" si="18"/>
        <v>0</v>
      </c>
      <c r="N19" s="4"/>
      <c r="P19" s="1">
        <v>6</v>
      </c>
      <c r="Q19" s="1">
        <f t="shared" si="2"/>
        <v>91.26</v>
      </c>
      <c r="S19" s="1">
        <v>53</v>
      </c>
      <c r="T19" s="1">
        <f t="shared" si="3"/>
        <v>806.13</v>
      </c>
      <c r="V19" s="1">
        <v>24</v>
      </c>
      <c r="W19" s="1">
        <f t="shared" si="4"/>
        <v>365.04</v>
      </c>
      <c r="Y19" s="1">
        <v>50</v>
      </c>
      <c r="Z19" s="1">
        <f t="shared" si="5"/>
        <v>760.5</v>
      </c>
      <c r="AB19" s="1">
        <v>73</v>
      </c>
      <c r="AC19" s="1">
        <f t="shared" si="6"/>
        <v>1110.33</v>
      </c>
      <c r="AE19" s="1">
        <v>12</v>
      </c>
      <c r="AF19" s="1">
        <f t="shared" si="7"/>
        <v>182.52</v>
      </c>
      <c r="AH19" s="1">
        <v>29</v>
      </c>
      <c r="AI19" s="1">
        <f t="shared" si="8"/>
        <v>441.09</v>
      </c>
      <c r="AK19" s="1">
        <v>48</v>
      </c>
      <c r="AL19" s="1">
        <f t="shared" si="9"/>
        <v>730.08</v>
      </c>
      <c r="AN19" s="1">
        <v>39</v>
      </c>
      <c r="AO19" s="1">
        <f t="shared" si="10"/>
        <v>593.19</v>
      </c>
      <c r="AQ19" s="1">
        <v>50</v>
      </c>
      <c r="AR19" s="1">
        <f t="shared" si="11"/>
        <v>760.5</v>
      </c>
      <c r="BG19" s="2">
        <v>12</v>
      </c>
      <c r="BH19" s="1">
        <f t="shared" si="12"/>
        <v>182.52</v>
      </c>
      <c r="BI19" s="2">
        <v>28</v>
      </c>
      <c r="BJ19" s="1">
        <f t="shared" si="13"/>
        <v>425.88</v>
      </c>
      <c r="BK19" s="2">
        <v>33</v>
      </c>
      <c r="BL19" s="1">
        <f t="shared" si="14"/>
        <v>501.93</v>
      </c>
      <c r="BN19" s="1">
        <f t="shared" si="15"/>
        <v>73</v>
      </c>
      <c r="BO19" s="5" t="s">
        <v>338</v>
      </c>
      <c r="BP19" s="5" t="s">
        <v>339</v>
      </c>
      <c r="BQ19" s="6">
        <v>250.25</v>
      </c>
      <c r="BR19" s="5" t="s">
        <v>340</v>
      </c>
      <c r="BS19" s="1">
        <v>1</v>
      </c>
      <c r="BT19" s="1">
        <f t="shared" si="16"/>
        <v>15.21</v>
      </c>
      <c r="BV19" s="4"/>
      <c r="BW19" s="4">
        <v>1</v>
      </c>
      <c r="BX19" s="1">
        <f>BW19</f>
        <v>1</v>
      </c>
      <c r="BY19" s="1">
        <f t="shared" si="17"/>
        <v>15.21</v>
      </c>
    </row>
    <row r="20" ht="30" spans="1:77">
      <c r="A20" s="1" t="s">
        <v>3</v>
      </c>
      <c r="B20" s="1" t="s">
        <v>26</v>
      </c>
      <c r="C20" s="1">
        <v>7.75</v>
      </c>
      <c r="D20" s="1">
        <v>9</v>
      </c>
      <c r="E20" s="1">
        <f t="shared" si="0"/>
        <v>69.75</v>
      </c>
      <c r="J20" s="1">
        <v>0</v>
      </c>
      <c r="K20" s="1">
        <f t="shared" si="1"/>
        <v>0</v>
      </c>
      <c r="L20" s="4"/>
      <c r="M20" s="1">
        <f t="shared" si="18"/>
        <v>0</v>
      </c>
      <c r="N20" s="4"/>
      <c r="P20" s="1">
        <v>9</v>
      </c>
      <c r="Q20" s="1">
        <f t="shared" si="2"/>
        <v>69.75</v>
      </c>
      <c r="S20" s="1">
        <v>8</v>
      </c>
      <c r="T20" s="1">
        <f t="shared" si="3"/>
        <v>62</v>
      </c>
      <c r="V20" s="1">
        <v>30</v>
      </c>
      <c r="W20" s="1">
        <f t="shared" si="4"/>
        <v>232.5</v>
      </c>
      <c r="Y20" s="1">
        <v>60</v>
      </c>
      <c r="Z20" s="1">
        <f t="shared" si="5"/>
        <v>465</v>
      </c>
      <c r="AB20" s="1">
        <v>4</v>
      </c>
      <c r="AC20" s="1">
        <f t="shared" si="6"/>
        <v>31</v>
      </c>
      <c r="AE20" s="1">
        <v>23</v>
      </c>
      <c r="AF20" s="1">
        <f t="shared" si="7"/>
        <v>178.25</v>
      </c>
      <c r="AH20" s="1">
        <v>17</v>
      </c>
      <c r="AI20" s="1">
        <f t="shared" si="8"/>
        <v>131.75</v>
      </c>
      <c r="AK20" s="1">
        <v>10</v>
      </c>
      <c r="AL20" s="1">
        <f t="shared" si="9"/>
        <v>77.5</v>
      </c>
      <c r="AN20" s="1">
        <v>23</v>
      </c>
      <c r="AO20" s="1">
        <f t="shared" si="10"/>
        <v>178.25</v>
      </c>
      <c r="AQ20" s="1">
        <v>11</v>
      </c>
      <c r="AR20" s="1">
        <f t="shared" si="11"/>
        <v>85.25</v>
      </c>
      <c r="BG20" s="2">
        <v>0</v>
      </c>
      <c r="BH20" s="1">
        <f t="shared" si="12"/>
        <v>0</v>
      </c>
      <c r="BI20" s="2">
        <v>0</v>
      </c>
      <c r="BJ20" s="1">
        <f t="shared" si="13"/>
        <v>0</v>
      </c>
      <c r="BK20" s="2">
        <v>4</v>
      </c>
      <c r="BL20" s="1">
        <f t="shared" si="14"/>
        <v>31</v>
      </c>
      <c r="BN20" s="1">
        <f t="shared" si="15"/>
        <v>4</v>
      </c>
      <c r="BO20" s="5" t="s">
        <v>341</v>
      </c>
      <c r="BP20" s="5" t="s">
        <v>342</v>
      </c>
      <c r="BQ20" s="6">
        <v>126.69</v>
      </c>
      <c r="BR20" s="5" t="s">
        <v>343</v>
      </c>
      <c r="BT20" s="1">
        <f t="shared" si="16"/>
        <v>0</v>
      </c>
      <c r="BV20" s="4"/>
      <c r="BW20" s="4"/>
      <c r="BY20" s="1">
        <f t="shared" si="17"/>
        <v>0</v>
      </c>
    </row>
    <row r="21" ht="30" spans="1:77">
      <c r="A21" s="1" t="s">
        <v>3</v>
      </c>
      <c r="B21" s="1" t="s">
        <v>27</v>
      </c>
      <c r="C21" s="1">
        <v>7.75</v>
      </c>
      <c r="D21" s="1">
        <v>31</v>
      </c>
      <c r="E21" s="1">
        <f t="shared" si="0"/>
        <v>240.25</v>
      </c>
      <c r="J21" s="1">
        <v>0</v>
      </c>
      <c r="K21" s="1">
        <f t="shared" si="1"/>
        <v>0</v>
      </c>
      <c r="L21" s="4"/>
      <c r="M21" s="1">
        <f t="shared" si="18"/>
        <v>0</v>
      </c>
      <c r="N21" s="4"/>
      <c r="P21" s="1">
        <v>31</v>
      </c>
      <c r="Q21" s="1">
        <f t="shared" si="2"/>
        <v>240.25</v>
      </c>
      <c r="S21" s="1">
        <v>36</v>
      </c>
      <c r="T21" s="1">
        <f t="shared" si="3"/>
        <v>279</v>
      </c>
      <c r="V21" s="1">
        <v>40</v>
      </c>
      <c r="W21" s="1">
        <f t="shared" si="4"/>
        <v>310</v>
      </c>
      <c r="Y21" s="1">
        <v>8</v>
      </c>
      <c r="Z21" s="1">
        <f t="shared" si="5"/>
        <v>62</v>
      </c>
      <c r="AB21" s="1">
        <v>39</v>
      </c>
      <c r="AC21" s="1">
        <f t="shared" si="6"/>
        <v>302.25</v>
      </c>
      <c r="AE21" s="1">
        <v>0</v>
      </c>
      <c r="AF21" s="1">
        <f t="shared" si="7"/>
        <v>0</v>
      </c>
      <c r="AH21" s="1">
        <v>14</v>
      </c>
      <c r="AI21" s="1">
        <f t="shared" si="8"/>
        <v>108.5</v>
      </c>
      <c r="AK21" s="1">
        <v>30</v>
      </c>
      <c r="AL21" s="1">
        <f t="shared" si="9"/>
        <v>232.5</v>
      </c>
      <c r="AN21" s="1">
        <v>20</v>
      </c>
      <c r="AO21" s="1">
        <f t="shared" si="10"/>
        <v>155</v>
      </c>
      <c r="AQ21" s="1">
        <v>36</v>
      </c>
      <c r="AR21" s="1">
        <f t="shared" si="11"/>
        <v>279</v>
      </c>
      <c r="BG21" s="2">
        <v>8</v>
      </c>
      <c r="BH21" s="1">
        <f t="shared" si="12"/>
        <v>62</v>
      </c>
      <c r="BI21" s="2">
        <v>19</v>
      </c>
      <c r="BJ21" s="1">
        <f t="shared" si="13"/>
        <v>147.25</v>
      </c>
      <c r="BK21" s="2">
        <v>12</v>
      </c>
      <c r="BL21" s="1">
        <f t="shared" si="14"/>
        <v>93</v>
      </c>
      <c r="BN21" s="1">
        <f t="shared" si="15"/>
        <v>39</v>
      </c>
      <c r="BO21" s="5" t="s">
        <v>344</v>
      </c>
      <c r="BP21" s="5" t="s">
        <v>345</v>
      </c>
      <c r="BQ21" s="6">
        <v>126.69</v>
      </c>
      <c r="BR21" s="5" t="s">
        <v>346</v>
      </c>
      <c r="BT21" s="1">
        <f t="shared" si="16"/>
        <v>0</v>
      </c>
      <c r="BV21" s="4"/>
      <c r="BW21" s="4"/>
      <c r="BY21" s="1">
        <f t="shared" si="17"/>
        <v>0</v>
      </c>
    </row>
    <row r="22" spans="1:77">
      <c r="A22" s="1" t="s">
        <v>347</v>
      </c>
      <c r="B22" s="1" t="s">
        <v>28</v>
      </c>
      <c r="C22" s="1">
        <v>19.02</v>
      </c>
      <c r="D22" s="1">
        <v>0</v>
      </c>
      <c r="E22" s="1">
        <f t="shared" si="0"/>
        <v>0</v>
      </c>
      <c r="J22" s="1">
        <v>0</v>
      </c>
      <c r="K22" s="1">
        <f t="shared" si="1"/>
        <v>0</v>
      </c>
      <c r="L22" s="4"/>
      <c r="M22" s="1">
        <f t="shared" si="18"/>
        <v>0</v>
      </c>
      <c r="N22" s="4"/>
      <c r="P22" s="1">
        <v>0</v>
      </c>
      <c r="Q22" s="1">
        <f t="shared" si="2"/>
        <v>0</v>
      </c>
      <c r="S22" s="1">
        <v>0</v>
      </c>
      <c r="T22" s="1">
        <f t="shared" si="3"/>
        <v>0</v>
      </c>
      <c r="V22" s="1">
        <v>0</v>
      </c>
      <c r="W22" s="1">
        <f t="shared" si="4"/>
        <v>0</v>
      </c>
      <c r="Y22" s="1">
        <v>0</v>
      </c>
      <c r="Z22" s="1">
        <f t="shared" si="5"/>
        <v>0</v>
      </c>
      <c r="AB22" s="1">
        <v>0</v>
      </c>
      <c r="AC22" s="1">
        <f t="shared" si="6"/>
        <v>0</v>
      </c>
      <c r="AE22" s="1">
        <v>0</v>
      </c>
      <c r="AF22" s="1">
        <f t="shared" si="7"/>
        <v>0</v>
      </c>
      <c r="AH22" s="1">
        <v>0</v>
      </c>
      <c r="AI22" s="1">
        <f t="shared" si="8"/>
        <v>0</v>
      </c>
      <c r="AK22" s="1">
        <v>0</v>
      </c>
      <c r="AL22" s="1">
        <f t="shared" si="9"/>
        <v>0</v>
      </c>
      <c r="AN22" s="1">
        <v>0</v>
      </c>
      <c r="AO22" s="1">
        <f t="shared" si="10"/>
        <v>0</v>
      </c>
      <c r="AQ22" s="1">
        <v>0</v>
      </c>
      <c r="AR22" s="1">
        <f t="shared" si="11"/>
        <v>0</v>
      </c>
      <c r="BG22" s="2">
        <v>0</v>
      </c>
      <c r="BH22" s="1">
        <f t="shared" si="12"/>
        <v>0</v>
      </c>
      <c r="BI22" s="2">
        <v>0</v>
      </c>
      <c r="BJ22" s="1">
        <f t="shared" si="13"/>
        <v>0</v>
      </c>
      <c r="BK22" s="2">
        <v>0</v>
      </c>
      <c r="BL22" s="1">
        <f t="shared" si="14"/>
        <v>0</v>
      </c>
      <c r="BN22" s="1">
        <f t="shared" si="15"/>
        <v>0</v>
      </c>
      <c r="BT22" s="1">
        <f t="shared" si="16"/>
        <v>0</v>
      </c>
      <c r="BV22" s="4"/>
      <c r="BW22" s="4"/>
      <c r="BY22" s="1">
        <f t="shared" si="17"/>
        <v>0</v>
      </c>
    </row>
    <row r="23" spans="1:77">
      <c r="A23" s="1" t="s">
        <v>347</v>
      </c>
      <c r="B23" s="1" t="s">
        <v>29</v>
      </c>
      <c r="C23" s="1">
        <v>22.29</v>
      </c>
      <c r="D23" s="1">
        <v>250</v>
      </c>
      <c r="E23" s="1">
        <f t="shared" si="0"/>
        <v>5572.5</v>
      </c>
      <c r="J23" s="1">
        <v>78</v>
      </c>
      <c r="K23" s="1">
        <f t="shared" si="1"/>
        <v>1738.62</v>
      </c>
      <c r="L23" s="8">
        <v>1</v>
      </c>
      <c r="M23" s="1">
        <f t="shared" si="18"/>
        <v>22.29</v>
      </c>
      <c r="N23" s="4"/>
      <c r="P23" s="1">
        <v>172</v>
      </c>
      <c r="Q23" s="1">
        <f t="shared" si="2"/>
        <v>3833.88</v>
      </c>
      <c r="S23" s="1">
        <v>228</v>
      </c>
      <c r="T23" s="1">
        <f t="shared" si="3"/>
        <v>5082.12</v>
      </c>
      <c r="V23" s="1">
        <v>233</v>
      </c>
      <c r="W23" s="1">
        <f t="shared" si="4"/>
        <v>5193.57</v>
      </c>
      <c r="Y23" s="1">
        <v>271</v>
      </c>
      <c r="Z23" s="1">
        <f t="shared" si="5"/>
        <v>6040.59</v>
      </c>
      <c r="AB23" s="1">
        <v>230</v>
      </c>
      <c r="AC23" s="1">
        <f t="shared" si="6"/>
        <v>5126.7</v>
      </c>
      <c r="AE23" s="1">
        <v>203</v>
      </c>
      <c r="AF23" s="1">
        <f t="shared" si="7"/>
        <v>4524.87</v>
      </c>
      <c r="AH23" s="1">
        <v>212</v>
      </c>
      <c r="AI23" s="1">
        <f t="shared" si="8"/>
        <v>4725.48</v>
      </c>
      <c r="AK23" s="1">
        <v>215</v>
      </c>
      <c r="AL23" s="1">
        <f t="shared" si="9"/>
        <v>4792.35</v>
      </c>
      <c r="AN23" s="1">
        <v>223</v>
      </c>
      <c r="AO23" s="1">
        <f t="shared" si="10"/>
        <v>4970.67</v>
      </c>
      <c r="AQ23" s="1">
        <v>210</v>
      </c>
      <c r="AR23" s="1">
        <f t="shared" si="11"/>
        <v>4680.9</v>
      </c>
      <c r="BG23" s="2">
        <v>79</v>
      </c>
      <c r="BH23" s="1">
        <f t="shared" si="12"/>
        <v>1760.91</v>
      </c>
      <c r="BI23" s="2">
        <v>84</v>
      </c>
      <c r="BJ23" s="1">
        <f t="shared" si="13"/>
        <v>1872.36</v>
      </c>
      <c r="BK23" s="2">
        <v>67</v>
      </c>
      <c r="BL23" s="1">
        <f t="shared" si="14"/>
        <v>1493.43</v>
      </c>
      <c r="BN23" s="1">
        <f t="shared" si="15"/>
        <v>230</v>
      </c>
      <c r="BO23" s="1" t="s">
        <v>65</v>
      </c>
      <c r="BP23" s="1" t="s">
        <v>348</v>
      </c>
      <c r="BQ23" s="9">
        <v>139.57</v>
      </c>
      <c r="BR23" s="1" t="s">
        <v>349</v>
      </c>
      <c r="BS23" s="1">
        <v>2</v>
      </c>
      <c r="BT23" s="1">
        <f t="shared" si="16"/>
        <v>44.58</v>
      </c>
      <c r="BV23" s="4">
        <v>2</v>
      </c>
      <c r="BW23" s="4">
        <v>1</v>
      </c>
      <c r="BX23" s="1">
        <f>BW23+BV23</f>
        <v>3</v>
      </c>
      <c r="BY23" s="1">
        <f t="shared" si="17"/>
        <v>66.87</v>
      </c>
    </row>
    <row r="24" spans="1:77">
      <c r="A24" s="1" t="s">
        <v>347</v>
      </c>
      <c r="B24" s="1" t="s">
        <v>30</v>
      </c>
      <c r="C24" s="1">
        <v>24.9</v>
      </c>
      <c r="D24" s="1">
        <v>0</v>
      </c>
      <c r="E24" s="1">
        <f t="shared" si="0"/>
        <v>0</v>
      </c>
      <c r="J24" s="1">
        <v>0</v>
      </c>
      <c r="K24" s="1">
        <f t="shared" si="1"/>
        <v>0</v>
      </c>
      <c r="L24" s="8"/>
      <c r="M24" s="1">
        <f t="shared" si="18"/>
        <v>0</v>
      </c>
      <c r="N24" s="4"/>
      <c r="P24" s="1">
        <v>0</v>
      </c>
      <c r="Q24" s="1">
        <f t="shared" si="2"/>
        <v>0</v>
      </c>
      <c r="S24" s="1">
        <v>0</v>
      </c>
      <c r="T24" s="1">
        <f t="shared" si="3"/>
        <v>0</v>
      </c>
      <c r="V24" s="1">
        <v>0</v>
      </c>
      <c r="W24" s="1">
        <f t="shared" si="4"/>
        <v>0</v>
      </c>
      <c r="Y24" s="1">
        <v>0</v>
      </c>
      <c r="Z24" s="1">
        <f t="shared" si="5"/>
        <v>0</v>
      </c>
      <c r="AB24" s="1">
        <v>0</v>
      </c>
      <c r="AC24" s="1">
        <f t="shared" si="6"/>
        <v>0</v>
      </c>
      <c r="AE24" s="1">
        <v>8</v>
      </c>
      <c r="AF24" s="1">
        <f t="shared" si="7"/>
        <v>199.2</v>
      </c>
      <c r="AH24" s="1">
        <v>7</v>
      </c>
      <c r="AI24" s="1">
        <f t="shared" si="8"/>
        <v>174.3</v>
      </c>
      <c r="AK24" s="1">
        <v>0</v>
      </c>
      <c r="AL24" s="1">
        <f t="shared" si="9"/>
        <v>0</v>
      </c>
      <c r="AN24" s="1">
        <v>8</v>
      </c>
      <c r="AO24" s="1">
        <f t="shared" si="10"/>
        <v>199.2</v>
      </c>
      <c r="AQ24" s="1">
        <v>0</v>
      </c>
      <c r="AR24" s="1">
        <f t="shared" si="11"/>
        <v>0</v>
      </c>
      <c r="BG24" s="2">
        <v>0</v>
      </c>
      <c r="BH24" s="1">
        <f t="shared" si="12"/>
        <v>0</v>
      </c>
      <c r="BI24" s="2">
        <v>0</v>
      </c>
      <c r="BJ24" s="1">
        <f t="shared" si="13"/>
        <v>0</v>
      </c>
      <c r="BK24" s="2">
        <v>0</v>
      </c>
      <c r="BL24" s="1">
        <f t="shared" si="14"/>
        <v>0</v>
      </c>
      <c r="BN24" s="1">
        <f t="shared" si="15"/>
        <v>0</v>
      </c>
      <c r="BQ24" s="9"/>
      <c r="BT24" s="1">
        <f t="shared" si="16"/>
        <v>0</v>
      </c>
      <c r="BV24" s="4"/>
      <c r="BW24" s="4"/>
      <c r="BY24" s="1">
        <f t="shared" si="17"/>
        <v>0</v>
      </c>
    </row>
    <row r="25" spans="1:77">
      <c r="A25" s="1" t="s">
        <v>347</v>
      </c>
      <c r="B25" s="1" t="s">
        <v>31</v>
      </c>
      <c r="C25" s="1">
        <v>34.33</v>
      </c>
      <c r="D25" s="1">
        <v>12</v>
      </c>
      <c r="E25" s="1">
        <f t="shared" si="0"/>
        <v>411.96</v>
      </c>
      <c r="J25" s="1">
        <v>0</v>
      </c>
      <c r="K25" s="1">
        <f t="shared" si="1"/>
        <v>0</v>
      </c>
      <c r="L25" s="8"/>
      <c r="M25" s="1">
        <f t="shared" si="18"/>
        <v>0</v>
      </c>
      <c r="N25" s="4"/>
      <c r="P25" s="1">
        <v>12</v>
      </c>
      <c r="Q25" s="1">
        <f t="shared" si="2"/>
        <v>411.96</v>
      </c>
      <c r="S25" s="1">
        <v>16</v>
      </c>
      <c r="T25" s="1">
        <f t="shared" si="3"/>
        <v>549.28</v>
      </c>
      <c r="V25" s="1">
        <v>12</v>
      </c>
      <c r="W25" s="1">
        <f t="shared" si="4"/>
        <v>411.96</v>
      </c>
      <c r="Y25" s="1">
        <v>14</v>
      </c>
      <c r="Z25" s="1">
        <f t="shared" si="5"/>
        <v>480.62</v>
      </c>
      <c r="AB25" s="1">
        <v>16</v>
      </c>
      <c r="AC25" s="1">
        <f t="shared" si="6"/>
        <v>549.28</v>
      </c>
      <c r="AE25" s="1">
        <v>18</v>
      </c>
      <c r="AF25" s="1">
        <f t="shared" si="7"/>
        <v>617.94</v>
      </c>
      <c r="AH25" s="1">
        <v>18</v>
      </c>
      <c r="AI25" s="1">
        <f t="shared" si="8"/>
        <v>617.94</v>
      </c>
      <c r="AK25" s="1">
        <v>19</v>
      </c>
      <c r="AL25" s="1">
        <f t="shared" si="9"/>
        <v>652.27</v>
      </c>
      <c r="AN25" s="1">
        <v>23</v>
      </c>
      <c r="AO25" s="1">
        <f t="shared" si="10"/>
        <v>789.59</v>
      </c>
      <c r="AQ25" s="1">
        <v>12</v>
      </c>
      <c r="AR25" s="1">
        <f t="shared" si="11"/>
        <v>411.96</v>
      </c>
      <c r="BG25" s="2">
        <v>8</v>
      </c>
      <c r="BH25" s="1">
        <f t="shared" si="12"/>
        <v>274.64</v>
      </c>
      <c r="BI25" s="2">
        <v>4</v>
      </c>
      <c r="BJ25" s="1">
        <f t="shared" si="13"/>
        <v>137.32</v>
      </c>
      <c r="BK25" s="2">
        <v>4</v>
      </c>
      <c r="BL25" s="1">
        <f t="shared" si="14"/>
        <v>137.32</v>
      </c>
      <c r="BN25" s="1">
        <f t="shared" si="15"/>
        <v>16</v>
      </c>
      <c r="BO25" s="1" t="s">
        <v>67</v>
      </c>
      <c r="BP25" s="1" t="s">
        <v>350</v>
      </c>
      <c r="BQ25" s="9">
        <v>216.31</v>
      </c>
      <c r="BR25" s="1" t="s">
        <v>351</v>
      </c>
      <c r="BT25" s="1">
        <f t="shared" si="16"/>
        <v>0</v>
      </c>
      <c r="BV25" s="4"/>
      <c r="BW25" s="4"/>
      <c r="BY25" s="1">
        <f t="shared" si="17"/>
        <v>0</v>
      </c>
    </row>
    <row r="26" spans="1:77">
      <c r="A26" s="1" t="s">
        <v>347</v>
      </c>
      <c r="B26" s="1" t="s">
        <v>32</v>
      </c>
      <c r="C26" s="1">
        <v>43.76</v>
      </c>
      <c r="D26" s="1">
        <v>168</v>
      </c>
      <c r="E26" s="1">
        <f t="shared" si="0"/>
        <v>7351.68</v>
      </c>
      <c r="J26" s="1">
        <v>78</v>
      </c>
      <c r="K26" s="1">
        <f t="shared" si="1"/>
        <v>3413.28</v>
      </c>
      <c r="L26" s="8">
        <v>1</v>
      </c>
      <c r="M26" s="1">
        <f t="shared" si="18"/>
        <v>43.76</v>
      </c>
      <c r="N26" s="4"/>
      <c r="P26" s="1">
        <v>90</v>
      </c>
      <c r="Q26" s="1">
        <f t="shared" si="2"/>
        <v>3938.4</v>
      </c>
      <c r="S26" s="1">
        <v>181</v>
      </c>
      <c r="T26" s="1">
        <f t="shared" si="3"/>
        <v>7920.56</v>
      </c>
      <c r="V26" s="1">
        <v>146</v>
      </c>
      <c r="W26" s="1">
        <f t="shared" si="4"/>
        <v>6388.96</v>
      </c>
      <c r="Y26" s="1">
        <v>126</v>
      </c>
      <c r="Z26" s="1">
        <f t="shared" si="5"/>
        <v>5513.76</v>
      </c>
      <c r="AB26" s="1">
        <v>178</v>
      </c>
      <c r="AC26" s="1">
        <f t="shared" si="6"/>
        <v>7789.28</v>
      </c>
      <c r="AE26" s="1">
        <v>163</v>
      </c>
      <c r="AF26" s="1">
        <f t="shared" si="7"/>
        <v>7132.88</v>
      </c>
      <c r="AH26" s="1">
        <v>163</v>
      </c>
      <c r="AI26" s="1">
        <f t="shared" si="8"/>
        <v>7132.88</v>
      </c>
      <c r="AK26" s="1">
        <v>160</v>
      </c>
      <c r="AL26" s="1">
        <f t="shared" si="9"/>
        <v>7001.6</v>
      </c>
      <c r="AN26" s="1">
        <v>141</v>
      </c>
      <c r="AO26" s="1">
        <f t="shared" si="10"/>
        <v>6170.16</v>
      </c>
      <c r="AQ26" s="1">
        <v>146</v>
      </c>
      <c r="AR26" s="1">
        <f t="shared" si="11"/>
        <v>6388.96</v>
      </c>
      <c r="BG26" s="2">
        <v>71</v>
      </c>
      <c r="BH26" s="1">
        <f t="shared" si="12"/>
        <v>3106.96</v>
      </c>
      <c r="BI26" s="2">
        <v>73</v>
      </c>
      <c r="BJ26" s="1">
        <f t="shared" si="13"/>
        <v>3194.48</v>
      </c>
      <c r="BK26" s="2">
        <v>34</v>
      </c>
      <c r="BL26" s="1">
        <f t="shared" si="14"/>
        <v>1487.84</v>
      </c>
      <c r="BN26" s="1">
        <f t="shared" si="15"/>
        <v>178</v>
      </c>
      <c r="BO26" s="1" t="s">
        <v>68</v>
      </c>
      <c r="BP26" s="1" t="s">
        <v>352</v>
      </c>
      <c r="BQ26" s="9">
        <v>269.55</v>
      </c>
      <c r="BR26" s="1" t="s">
        <v>353</v>
      </c>
      <c r="BS26" s="1">
        <v>2</v>
      </c>
      <c r="BT26" s="1">
        <f t="shared" si="16"/>
        <v>87.52</v>
      </c>
      <c r="BV26" s="4"/>
      <c r="BW26" s="4">
        <v>1</v>
      </c>
      <c r="BX26" s="1">
        <v>3</v>
      </c>
      <c r="BY26" s="1">
        <f t="shared" si="17"/>
        <v>131.28</v>
      </c>
    </row>
    <row r="27" spans="1:77">
      <c r="A27" s="1" t="s">
        <v>347</v>
      </c>
      <c r="B27" s="1" t="s">
        <v>33</v>
      </c>
      <c r="C27" s="1">
        <v>46.82</v>
      </c>
      <c r="D27" s="1">
        <v>0</v>
      </c>
      <c r="E27" s="1">
        <f t="shared" si="0"/>
        <v>0</v>
      </c>
      <c r="J27" s="1">
        <v>0</v>
      </c>
      <c r="K27" s="1">
        <f t="shared" si="1"/>
        <v>0</v>
      </c>
      <c r="L27" s="8"/>
      <c r="M27" s="1">
        <f t="shared" si="18"/>
        <v>0</v>
      </c>
      <c r="N27" s="4"/>
      <c r="P27" s="1">
        <v>0</v>
      </c>
      <c r="Q27" s="1">
        <f t="shared" si="2"/>
        <v>0</v>
      </c>
      <c r="S27" s="1">
        <v>0</v>
      </c>
      <c r="T27" s="1">
        <f t="shared" si="3"/>
        <v>0</v>
      </c>
      <c r="V27" s="1">
        <v>0</v>
      </c>
      <c r="W27" s="1">
        <f t="shared" si="4"/>
        <v>0</v>
      </c>
      <c r="Y27" s="1">
        <v>0</v>
      </c>
      <c r="Z27" s="1">
        <f t="shared" si="5"/>
        <v>0</v>
      </c>
      <c r="AB27" s="1">
        <v>0</v>
      </c>
      <c r="AC27" s="1">
        <f t="shared" si="6"/>
        <v>0</v>
      </c>
      <c r="AE27" s="1">
        <v>8</v>
      </c>
      <c r="AF27" s="1">
        <f t="shared" si="7"/>
        <v>374.56</v>
      </c>
      <c r="AH27" s="1">
        <v>7</v>
      </c>
      <c r="AI27" s="1">
        <f t="shared" si="8"/>
        <v>327.74</v>
      </c>
      <c r="AK27" s="1">
        <v>0</v>
      </c>
      <c r="AL27" s="1">
        <f t="shared" si="9"/>
        <v>0</v>
      </c>
      <c r="AN27" s="1">
        <v>8</v>
      </c>
      <c r="AO27" s="1">
        <f t="shared" si="10"/>
        <v>374.56</v>
      </c>
      <c r="AQ27" s="1">
        <v>0</v>
      </c>
      <c r="AR27" s="1">
        <f t="shared" si="11"/>
        <v>0</v>
      </c>
      <c r="BG27" s="2">
        <v>0</v>
      </c>
      <c r="BH27" s="1">
        <f t="shared" si="12"/>
        <v>0</v>
      </c>
      <c r="BI27" s="2">
        <v>0</v>
      </c>
      <c r="BJ27" s="1">
        <f t="shared" si="13"/>
        <v>0</v>
      </c>
      <c r="BK27" s="2">
        <v>0</v>
      </c>
      <c r="BL27" s="1">
        <f t="shared" si="14"/>
        <v>0</v>
      </c>
      <c r="BN27" s="1">
        <f t="shared" si="15"/>
        <v>0</v>
      </c>
      <c r="BQ27" s="9"/>
      <c r="BV27" s="4"/>
      <c r="BW27" s="4"/>
    </row>
    <row r="28" spans="1:77">
      <c r="A28" s="1" t="s">
        <v>347</v>
      </c>
      <c r="B28" s="1" t="s">
        <v>34</v>
      </c>
      <c r="C28" s="1">
        <v>47.72</v>
      </c>
      <c r="D28" s="1">
        <v>0</v>
      </c>
      <c r="E28" s="1">
        <f t="shared" si="0"/>
        <v>0</v>
      </c>
      <c r="J28" s="1">
        <v>0</v>
      </c>
      <c r="K28" s="1">
        <f t="shared" si="1"/>
        <v>0</v>
      </c>
      <c r="L28" s="8"/>
      <c r="M28" s="1">
        <f t="shared" si="18"/>
        <v>0</v>
      </c>
      <c r="N28" s="4"/>
      <c r="P28" s="1">
        <v>0</v>
      </c>
      <c r="Q28" s="1">
        <f t="shared" si="2"/>
        <v>0</v>
      </c>
      <c r="S28" s="1">
        <v>0</v>
      </c>
      <c r="T28" s="1">
        <f t="shared" si="3"/>
        <v>0</v>
      </c>
      <c r="V28" s="1">
        <v>0</v>
      </c>
      <c r="W28" s="1">
        <f t="shared" si="4"/>
        <v>0</v>
      </c>
      <c r="Y28" s="1">
        <v>1</v>
      </c>
      <c r="Z28" s="1">
        <f t="shared" si="5"/>
        <v>47.72</v>
      </c>
      <c r="AB28" s="1">
        <v>0</v>
      </c>
      <c r="AC28" s="1">
        <f t="shared" si="6"/>
        <v>0</v>
      </c>
      <c r="AE28" s="1">
        <v>0</v>
      </c>
      <c r="AF28" s="1">
        <f t="shared" si="7"/>
        <v>0</v>
      </c>
      <c r="AH28" s="1">
        <v>0</v>
      </c>
      <c r="AI28" s="1">
        <f t="shared" si="8"/>
        <v>0</v>
      </c>
      <c r="AK28" s="1">
        <v>0</v>
      </c>
      <c r="AL28" s="1">
        <f t="shared" si="9"/>
        <v>0</v>
      </c>
      <c r="AN28" s="1">
        <v>0</v>
      </c>
      <c r="AO28" s="1">
        <f t="shared" si="10"/>
        <v>0</v>
      </c>
      <c r="AQ28" s="1">
        <v>0</v>
      </c>
      <c r="AR28" s="1">
        <f t="shared" si="11"/>
        <v>0</v>
      </c>
      <c r="BG28" s="2">
        <v>0</v>
      </c>
      <c r="BH28" s="1">
        <f t="shared" si="12"/>
        <v>0</v>
      </c>
      <c r="BI28" s="2">
        <v>0</v>
      </c>
      <c r="BJ28" s="1">
        <f t="shared" si="13"/>
        <v>0</v>
      </c>
      <c r="BK28" s="2">
        <v>0</v>
      </c>
      <c r="BL28" s="1">
        <f t="shared" si="14"/>
        <v>0</v>
      </c>
      <c r="BN28" s="1">
        <f t="shared" si="15"/>
        <v>0</v>
      </c>
      <c r="BQ28" s="9"/>
      <c r="BV28" s="4"/>
      <c r="BW28" s="4"/>
    </row>
    <row r="29" spans="1:77">
      <c r="A29" s="1" t="s">
        <v>347</v>
      </c>
      <c r="B29" s="1" t="s">
        <v>35</v>
      </c>
      <c r="C29" s="1">
        <v>56.25</v>
      </c>
      <c r="D29" s="1">
        <v>12</v>
      </c>
      <c r="E29" s="1">
        <f t="shared" si="0"/>
        <v>675</v>
      </c>
      <c r="J29" s="1">
        <v>0</v>
      </c>
      <c r="K29" s="1">
        <f t="shared" si="1"/>
        <v>0</v>
      </c>
      <c r="L29" s="8"/>
      <c r="M29" s="1">
        <f t="shared" si="18"/>
        <v>0</v>
      </c>
      <c r="N29" s="4"/>
      <c r="P29" s="1">
        <v>12</v>
      </c>
      <c r="Q29" s="1">
        <f t="shared" si="2"/>
        <v>675</v>
      </c>
      <c r="S29" s="1">
        <v>12</v>
      </c>
      <c r="T29" s="1">
        <f t="shared" si="3"/>
        <v>675</v>
      </c>
      <c r="V29" s="1">
        <v>12</v>
      </c>
      <c r="W29" s="1">
        <f t="shared" si="4"/>
        <v>675</v>
      </c>
      <c r="Y29" s="1">
        <v>12</v>
      </c>
      <c r="Z29" s="1">
        <f t="shared" si="5"/>
        <v>675</v>
      </c>
      <c r="AB29" s="1">
        <v>12</v>
      </c>
      <c r="AC29" s="1">
        <f t="shared" si="6"/>
        <v>675</v>
      </c>
      <c r="AE29" s="1">
        <v>14</v>
      </c>
      <c r="AF29" s="1">
        <f t="shared" si="7"/>
        <v>787.5</v>
      </c>
      <c r="AH29" s="1">
        <v>16</v>
      </c>
      <c r="AI29" s="1">
        <f t="shared" si="8"/>
        <v>900</v>
      </c>
      <c r="AK29" s="1">
        <v>18</v>
      </c>
      <c r="AL29" s="1">
        <f t="shared" si="9"/>
        <v>1012.5</v>
      </c>
      <c r="AN29" s="1">
        <v>22</v>
      </c>
      <c r="AO29" s="1">
        <f t="shared" si="10"/>
        <v>1237.5</v>
      </c>
      <c r="AQ29" s="1">
        <v>7</v>
      </c>
      <c r="AR29" s="1">
        <f t="shared" si="11"/>
        <v>393.75</v>
      </c>
      <c r="BG29" s="2">
        <v>8</v>
      </c>
      <c r="BH29" s="1">
        <f t="shared" si="12"/>
        <v>450</v>
      </c>
      <c r="BI29" s="2">
        <v>0</v>
      </c>
      <c r="BJ29" s="1">
        <f t="shared" si="13"/>
        <v>0</v>
      </c>
      <c r="BK29" s="2">
        <v>4</v>
      </c>
      <c r="BL29" s="1">
        <f t="shared" si="14"/>
        <v>225</v>
      </c>
      <c r="BN29" s="1">
        <f t="shared" si="15"/>
        <v>12</v>
      </c>
      <c r="BO29" s="1" t="s">
        <v>71</v>
      </c>
      <c r="BP29" s="1" t="s">
        <v>354</v>
      </c>
      <c r="BQ29" s="9">
        <v>358.57</v>
      </c>
      <c r="BR29" s="1" t="s">
        <v>355</v>
      </c>
      <c r="BV29" s="4"/>
      <c r="BW29" s="4"/>
    </row>
    <row r="30" spans="1:77">
      <c r="A30" s="1" t="s">
        <v>347</v>
      </c>
      <c r="B30" s="1" t="s">
        <v>36</v>
      </c>
      <c r="C30" s="1">
        <v>61.32</v>
      </c>
      <c r="D30" s="1">
        <v>0</v>
      </c>
      <c r="E30" s="1">
        <f t="shared" si="0"/>
        <v>0</v>
      </c>
      <c r="J30" s="1">
        <v>0</v>
      </c>
      <c r="K30" s="1">
        <f t="shared" si="1"/>
        <v>0</v>
      </c>
      <c r="L30" s="8"/>
      <c r="M30" s="1">
        <f t="shared" si="18"/>
        <v>0</v>
      </c>
      <c r="N30" s="4"/>
      <c r="P30" s="1">
        <v>0</v>
      </c>
      <c r="Q30" s="1">
        <f t="shared" si="2"/>
        <v>0</v>
      </c>
      <c r="S30" s="1">
        <v>0</v>
      </c>
      <c r="T30" s="1">
        <f t="shared" si="3"/>
        <v>0</v>
      </c>
      <c r="V30" s="1">
        <v>0</v>
      </c>
      <c r="W30" s="1">
        <f t="shared" si="4"/>
        <v>0</v>
      </c>
      <c r="Y30" s="1">
        <v>1</v>
      </c>
      <c r="Z30" s="1">
        <f t="shared" si="5"/>
        <v>61.32</v>
      </c>
      <c r="AB30" s="1">
        <v>0</v>
      </c>
      <c r="AC30" s="1">
        <f t="shared" si="6"/>
        <v>0</v>
      </c>
      <c r="AE30" s="1">
        <v>0</v>
      </c>
      <c r="AF30" s="1">
        <f t="shared" si="7"/>
        <v>0</v>
      </c>
      <c r="AH30" s="1">
        <v>2</v>
      </c>
      <c r="AI30" s="1">
        <f t="shared" si="8"/>
        <v>122.64</v>
      </c>
      <c r="AK30" s="1">
        <v>1</v>
      </c>
      <c r="AL30" s="1">
        <f t="shared" si="9"/>
        <v>61.32</v>
      </c>
      <c r="AN30" s="1">
        <v>1</v>
      </c>
      <c r="AO30" s="1">
        <f t="shared" si="10"/>
        <v>61.32</v>
      </c>
      <c r="AQ30" s="1">
        <v>1</v>
      </c>
      <c r="AR30" s="1">
        <f t="shared" si="11"/>
        <v>61.32</v>
      </c>
      <c r="BG30" s="2">
        <v>0</v>
      </c>
      <c r="BH30" s="1">
        <f t="shared" si="12"/>
        <v>0</v>
      </c>
      <c r="BI30" s="2">
        <v>0</v>
      </c>
      <c r="BJ30" s="1">
        <f t="shared" si="13"/>
        <v>0</v>
      </c>
      <c r="BK30" s="2">
        <v>0</v>
      </c>
      <c r="BL30" s="1">
        <f t="shared" si="14"/>
        <v>0</v>
      </c>
      <c r="BN30" s="1">
        <f t="shared" si="15"/>
        <v>0</v>
      </c>
      <c r="BQ30" s="9"/>
      <c r="BV30" s="4"/>
      <c r="BW30" s="4"/>
    </row>
    <row r="31" spans="1:77">
      <c r="A31" s="1" t="s">
        <v>347</v>
      </c>
      <c r="B31" s="1" t="s">
        <v>37</v>
      </c>
      <c r="C31" s="1">
        <v>65.68</v>
      </c>
      <c r="D31" s="1">
        <v>78</v>
      </c>
      <c r="E31" s="1">
        <f t="shared" si="0"/>
        <v>5123.04</v>
      </c>
      <c r="J31" s="1">
        <v>78</v>
      </c>
      <c r="K31" s="1">
        <f t="shared" si="1"/>
        <v>5123.04</v>
      </c>
      <c r="L31" s="8">
        <v>1</v>
      </c>
      <c r="M31" s="1">
        <f t="shared" si="18"/>
        <v>65.68</v>
      </c>
      <c r="N31" s="4"/>
      <c r="P31" s="1">
        <v>0</v>
      </c>
      <c r="Q31" s="1">
        <f t="shared" si="2"/>
        <v>0</v>
      </c>
      <c r="S31" s="1">
        <v>81</v>
      </c>
      <c r="T31" s="1">
        <f t="shared" si="3"/>
        <v>5320.08</v>
      </c>
      <c r="V31" s="1">
        <v>140</v>
      </c>
      <c r="W31" s="1">
        <f t="shared" si="4"/>
        <v>9195.2</v>
      </c>
      <c r="Y31" s="1">
        <v>78</v>
      </c>
      <c r="Z31" s="1">
        <f t="shared" si="5"/>
        <v>5123.04</v>
      </c>
      <c r="AB31" s="1">
        <v>108</v>
      </c>
      <c r="AC31" s="1">
        <f t="shared" si="6"/>
        <v>7093.44</v>
      </c>
      <c r="AE31" s="1">
        <v>138</v>
      </c>
      <c r="AF31" s="1">
        <f t="shared" si="7"/>
        <v>9063.84</v>
      </c>
      <c r="AH31" s="1">
        <v>121</v>
      </c>
      <c r="AI31" s="1">
        <f t="shared" si="8"/>
        <v>7947.28</v>
      </c>
      <c r="AK31" s="1">
        <v>127</v>
      </c>
      <c r="AL31" s="1">
        <f t="shared" si="9"/>
        <v>8341.36</v>
      </c>
      <c r="AN31" s="1">
        <v>124</v>
      </c>
      <c r="AO31" s="1">
        <f t="shared" si="10"/>
        <v>8144.32</v>
      </c>
      <c r="AQ31" s="1">
        <v>121</v>
      </c>
      <c r="AR31" s="1">
        <f t="shared" si="11"/>
        <v>7947.28</v>
      </c>
      <c r="BG31" s="2">
        <v>57</v>
      </c>
      <c r="BH31" s="1">
        <f t="shared" si="12"/>
        <v>3743.76</v>
      </c>
      <c r="BI31" s="2">
        <v>20</v>
      </c>
      <c r="BJ31" s="1">
        <f t="shared" si="13"/>
        <v>1313.6</v>
      </c>
      <c r="BK31" s="2">
        <v>31</v>
      </c>
      <c r="BL31" s="1">
        <f t="shared" si="14"/>
        <v>2036.08</v>
      </c>
      <c r="BN31" s="1">
        <f t="shared" si="15"/>
        <v>108</v>
      </c>
      <c r="BO31" s="1" t="s">
        <v>73</v>
      </c>
      <c r="BP31" s="1" t="s">
        <v>356</v>
      </c>
      <c r="BQ31" s="9">
        <v>407.62</v>
      </c>
      <c r="BR31" s="1" t="s">
        <v>357</v>
      </c>
      <c r="BV31" s="4"/>
      <c r="BW31" s="4"/>
    </row>
    <row r="32" spans="1:77">
      <c r="A32" s="1" t="s">
        <v>347</v>
      </c>
      <c r="B32" s="1" t="s">
        <v>38</v>
      </c>
      <c r="C32" s="1">
        <v>66.58</v>
      </c>
      <c r="D32" s="1">
        <v>8</v>
      </c>
      <c r="E32" s="1">
        <f t="shared" si="0"/>
        <v>532.64</v>
      </c>
      <c r="J32" s="1">
        <v>0</v>
      </c>
      <c r="K32" s="1">
        <f t="shared" si="1"/>
        <v>0</v>
      </c>
      <c r="L32" s="4"/>
      <c r="M32" s="1">
        <f t="shared" si="18"/>
        <v>0</v>
      </c>
      <c r="N32" s="4"/>
      <c r="P32" s="1">
        <v>8</v>
      </c>
      <c r="Q32" s="1">
        <f t="shared" si="2"/>
        <v>532.64</v>
      </c>
      <c r="S32" s="1">
        <v>37</v>
      </c>
      <c r="T32" s="1">
        <f t="shared" si="3"/>
        <v>2463.46</v>
      </c>
      <c r="V32" s="1">
        <v>6</v>
      </c>
      <c r="W32" s="1">
        <f t="shared" si="4"/>
        <v>399.48</v>
      </c>
      <c r="Y32" s="1">
        <v>48</v>
      </c>
      <c r="Z32" s="1">
        <f t="shared" si="5"/>
        <v>3195.84</v>
      </c>
      <c r="AB32" s="1">
        <v>29</v>
      </c>
      <c r="AC32" s="1">
        <f t="shared" si="6"/>
        <v>1930.82</v>
      </c>
      <c r="AE32" s="1">
        <v>6</v>
      </c>
      <c r="AF32" s="1">
        <f t="shared" si="7"/>
        <v>399.48</v>
      </c>
      <c r="AH32" s="1">
        <v>20</v>
      </c>
      <c r="AI32" s="1">
        <f t="shared" si="8"/>
        <v>1331.6</v>
      </c>
      <c r="AK32" s="1">
        <v>26</v>
      </c>
      <c r="AL32" s="1">
        <f t="shared" si="9"/>
        <v>1731.08</v>
      </c>
      <c r="AN32" s="1">
        <v>10</v>
      </c>
      <c r="AO32" s="1">
        <f t="shared" si="10"/>
        <v>665.8</v>
      </c>
      <c r="AQ32" s="1">
        <v>22</v>
      </c>
      <c r="AR32" s="1">
        <f t="shared" si="11"/>
        <v>1464.76</v>
      </c>
      <c r="BG32" s="2">
        <v>14</v>
      </c>
      <c r="BH32" s="1">
        <f t="shared" si="12"/>
        <v>932.12</v>
      </c>
      <c r="BI32" s="2">
        <v>12</v>
      </c>
      <c r="BJ32" s="1">
        <f t="shared" si="13"/>
        <v>798.96</v>
      </c>
      <c r="BK32" s="2">
        <v>3</v>
      </c>
      <c r="BL32" s="1">
        <f t="shared" si="14"/>
        <v>199.74</v>
      </c>
      <c r="BN32" s="1">
        <f t="shared" si="15"/>
        <v>29</v>
      </c>
      <c r="BO32" s="1" t="s">
        <v>74</v>
      </c>
      <c r="BP32" s="1" t="s">
        <v>358</v>
      </c>
      <c r="BQ32" s="9">
        <v>412.31</v>
      </c>
      <c r="BR32" s="1" t="s">
        <v>359</v>
      </c>
      <c r="BV32" s="4"/>
      <c r="BW32" s="4"/>
    </row>
    <row r="33" spans="1:77">
      <c r="A33" s="1" t="s">
        <v>347</v>
      </c>
      <c r="B33" s="1" t="s">
        <v>39</v>
      </c>
      <c r="C33" s="1">
        <v>1.23</v>
      </c>
      <c r="D33" s="1">
        <v>235</v>
      </c>
      <c r="E33" s="1">
        <f t="shared" si="0"/>
        <v>289.05</v>
      </c>
      <c r="G33" s="1">
        <v>235</v>
      </c>
      <c r="H33" s="1">
        <f t="shared" ref="H33:H39" si="19">C33*G33</f>
        <v>289.05</v>
      </c>
      <c r="S33" s="1">
        <v>276</v>
      </c>
      <c r="T33" s="1">
        <f t="shared" si="3"/>
        <v>339.48</v>
      </c>
      <c r="V33" s="1">
        <v>268</v>
      </c>
      <c r="W33" s="1">
        <f t="shared" si="4"/>
        <v>329.64</v>
      </c>
      <c r="Y33" s="1">
        <v>267</v>
      </c>
      <c r="Z33" s="1">
        <f t="shared" si="5"/>
        <v>328.41</v>
      </c>
      <c r="AB33" s="1">
        <v>289</v>
      </c>
      <c r="AC33" s="1">
        <f t="shared" si="6"/>
        <v>355.47</v>
      </c>
      <c r="AE33" s="1">
        <v>275</v>
      </c>
      <c r="AF33" s="1">
        <f t="shared" si="7"/>
        <v>338.25</v>
      </c>
      <c r="AH33" s="1">
        <v>286</v>
      </c>
      <c r="AI33" s="1">
        <f t="shared" si="8"/>
        <v>351.78</v>
      </c>
      <c r="AK33" s="1">
        <v>294</v>
      </c>
      <c r="AL33" s="1">
        <f t="shared" si="9"/>
        <v>361.62</v>
      </c>
      <c r="AN33" s="1">
        <v>266</v>
      </c>
      <c r="AO33" s="1">
        <f t="shared" si="10"/>
        <v>327.18</v>
      </c>
      <c r="AQ33" s="1">
        <v>256</v>
      </c>
      <c r="AR33" s="1">
        <f t="shared" si="11"/>
        <v>314.88</v>
      </c>
      <c r="BK33" s="2">
        <v>289</v>
      </c>
      <c r="BL33" s="1">
        <f t="shared" si="14"/>
        <v>355.47</v>
      </c>
      <c r="BN33" s="1">
        <f t="shared" si="15"/>
        <v>289</v>
      </c>
      <c r="BO33" s="1" t="s">
        <v>75</v>
      </c>
      <c r="BP33" s="1" t="s">
        <v>360</v>
      </c>
      <c r="BQ33" s="9">
        <v>20.59</v>
      </c>
      <c r="BR33" s="1" t="s">
        <v>361</v>
      </c>
    </row>
    <row r="34" spans="1:77">
      <c r="A34" s="1" t="s">
        <v>347</v>
      </c>
      <c r="B34" s="1" t="s">
        <v>40</v>
      </c>
      <c r="C34" s="1">
        <v>3.27</v>
      </c>
      <c r="D34" s="1">
        <v>430</v>
      </c>
      <c r="E34" s="1">
        <f t="shared" si="0"/>
        <v>1406.1</v>
      </c>
      <c r="G34" s="1">
        <v>430</v>
      </c>
      <c r="H34" s="1">
        <f t="shared" si="19"/>
        <v>1406.1</v>
      </c>
      <c r="S34" s="1">
        <v>455</v>
      </c>
      <c r="T34" s="1">
        <f t="shared" si="3"/>
        <v>1487.85</v>
      </c>
      <c r="V34" s="1">
        <v>454</v>
      </c>
      <c r="W34" s="1">
        <f t="shared" si="4"/>
        <v>1484.58</v>
      </c>
      <c r="Y34" s="1">
        <v>447</v>
      </c>
      <c r="Z34" s="1">
        <f t="shared" si="5"/>
        <v>1461.69</v>
      </c>
      <c r="AB34" s="1">
        <v>473</v>
      </c>
      <c r="AC34" s="1">
        <f t="shared" si="6"/>
        <v>1546.71</v>
      </c>
      <c r="AE34" s="1">
        <v>472</v>
      </c>
      <c r="AF34" s="1">
        <f t="shared" si="7"/>
        <v>1543.44</v>
      </c>
      <c r="AH34" s="1">
        <v>464</v>
      </c>
      <c r="AI34" s="1">
        <f t="shared" si="8"/>
        <v>1517.28</v>
      </c>
      <c r="AK34" s="1">
        <v>478</v>
      </c>
      <c r="AL34" s="1">
        <f t="shared" si="9"/>
        <v>1563.06</v>
      </c>
      <c r="AN34" s="1">
        <v>476</v>
      </c>
      <c r="AO34" s="1">
        <f t="shared" si="10"/>
        <v>1556.52</v>
      </c>
      <c r="AQ34" s="1">
        <v>450</v>
      </c>
      <c r="AR34" s="1">
        <f t="shared" si="11"/>
        <v>1471.5</v>
      </c>
      <c r="BK34" s="2">
        <v>473</v>
      </c>
      <c r="BL34" s="1">
        <f t="shared" si="14"/>
        <v>1546.71</v>
      </c>
      <c r="BN34" s="1">
        <f t="shared" si="15"/>
        <v>473</v>
      </c>
      <c r="BO34" s="1" t="s">
        <v>76</v>
      </c>
      <c r="BP34" s="1" t="s">
        <v>362</v>
      </c>
      <c r="BQ34" s="9">
        <v>43.85</v>
      </c>
      <c r="BR34" s="1" t="s">
        <v>363</v>
      </c>
    </row>
    <row r="35" spans="1:77">
      <c r="A35" s="1" t="s">
        <v>347</v>
      </c>
      <c r="B35" s="1" t="s">
        <v>41</v>
      </c>
      <c r="C35" s="1">
        <v>5.1</v>
      </c>
      <c r="D35" s="1">
        <v>107</v>
      </c>
      <c r="E35" s="1">
        <f t="shared" si="0"/>
        <v>545.7</v>
      </c>
      <c r="G35" s="1">
        <v>107</v>
      </c>
      <c r="H35" s="1">
        <f t="shared" si="19"/>
        <v>545.7</v>
      </c>
      <c r="S35" s="1">
        <v>58</v>
      </c>
      <c r="T35" s="1">
        <f t="shared" si="3"/>
        <v>295.8</v>
      </c>
      <c r="V35" s="1">
        <v>52</v>
      </c>
      <c r="W35" s="1">
        <f t="shared" si="4"/>
        <v>265.2</v>
      </c>
      <c r="Y35" s="1">
        <v>81</v>
      </c>
      <c r="Z35" s="1">
        <f t="shared" si="5"/>
        <v>413.1</v>
      </c>
      <c r="AB35" s="1">
        <v>55</v>
      </c>
      <c r="AC35" s="1">
        <f t="shared" si="6"/>
        <v>280.5</v>
      </c>
      <c r="AE35" s="1">
        <v>35</v>
      </c>
      <c r="AF35" s="1">
        <f t="shared" si="7"/>
        <v>178.5</v>
      </c>
      <c r="AH35" s="1">
        <v>32</v>
      </c>
      <c r="AI35" s="1">
        <f t="shared" si="8"/>
        <v>163.2</v>
      </c>
      <c r="AK35" s="1">
        <v>27</v>
      </c>
      <c r="AL35" s="1">
        <f t="shared" si="9"/>
        <v>137.7</v>
      </c>
      <c r="AN35" s="1">
        <v>57</v>
      </c>
      <c r="AO35" s="1">
        <f t="shared" si="10"/>
        <v>290.7</v>
      </c>
      <c r="AQ35" s="1">
        <v>54</v>
      </c>
      <c r="AR35" s="1">
        <f t="shared" si="11"/>
        <v>275.4</v>
      </c>
      <c r="BK35" s="2">
        <v>55</v>
      </c>
      <c r="BL35" s="1">
        <f t="shared" si="14"/>
        <v>280.5</v>
      </c>
      <c r="BN35" s="1">
        <f t="shared" si="15"/>
        <v>55</v>
      </c>
      <c r="BO35" s="1" t="s">
        <v>77</v>
      </c>
      <c r="BP35" s="1" t="s">
        <v>364</v>
      </c>
      <c r="BQ35" s="9">
        <v>52.64</v>
      </c>
      <c r="BR35" s="1" t="s">
        <v>365</v>
      </c>
    </row>
    <row r="36" spans="1:77">
      <c r="A36" s="1" t="s">
        <v>347</v>
      </c>
      <c r="B36" s="1" t="s">
        <v>42</v>
      </c>
      <c r="C36" s="1">
        <v>6.92</v>
      </c>
      <c r="D36" s="1">
        <v>20</v>
      </c>
      <c r="E36" s="1">
        <f t="shared" si="0"/>
        <v>138.4</v>
      </c>
      <c r="G36" s="1">
        <v>20</v>
      </c>
      <c r="H36" s="1">
        <f t="shared" si="19"/>
        <v>138.4</v>
      </c>
      <c r="S36" s="1">
        <v>12</v>
      </c>
      <c r="T36" s="1">
        <f t="shared" si="3"/>
        <v>83.04</v>
      </c>
      <c r="V36" s="1">
        <v>32</v>
      </c>
      <c r="W36" s="1">
        <f t="shared" si="4"/>
        <v>221.44</v>
      </c>
      <c r="Y36" s="1">
        <v>38</v>
      </c>
      <c r="Z36" s="1">
        <f t="shared" si="5"/>
        <v>262.96</v>
      </c>
      <c r="AB36" s="1">
        <v>3</v>
      </c>
      <c r="AC36" s="1">
        <f t="shared" si="6"/>
        <v>20.76</v>
      </c>
      <c r="AE36" s="1">
        <v>9</v>
      </c>
      <c r="AF36" s="1">
        <f t="shared" si="7"/>
        <v>62.28</v>
      </c>
      <c r="AH36" s="1">
        <v>10</v>
      </c>
      <c r="AI36" s="1">
        <f t="shared" si="8"/>
        <v>69.2</v>
      </c>
      <c r="AK36" s="1">
        <v>9</v>
      </c>
      <c r="AL36" s="1">
        <f t="shared" si="9"/>
        <v>62.28</v>
      </c>
      <c r="AN36" s="1">
        <v>18</v>
      </c>
      <c r="AO36" s="1">
        <f t="shared" si="10"/>
        <v>124.56</v>
      </c>
      <c r="AQ36" s="1">
        <v>30</v>
      </c>
      <c r="AR36" s="1">
        <f t="shared" si="11"/>
        <v>207.6</v>
      </c>
      <c r="BK36" s="2">
        <v>3</v>
      </c>
      <c r="BL36" s="1">
        <f t="shared" si="14"/>
        <v>20.76</v>
      </c>
      <c r="BN36" s="1">
        <f t="shared" si="15"/>
        <v>3</v>
      </c>
      <c r="BO36" s="1" t="s">
        <v>78</v>
      </c>
      <c r="BP36" s="1" t="s">
        <v>366</v>
      </c>
      <c r="BQ36" s="9">
        <v>66.43</v>
      </c>
      <c r="BR36" s="1" t="s">
        <v>367</v>
      </c>
    </row>
    <row r="37" spans="1:77">
      <c r="A37" s="1" t="s">
        <v>347</v>
      </c>
      <c r="B37" s="1" t="s">
        <v>43</v>
      </c>
      <c r="C37" s="1">
        <v>8.73</v>
      </c>
      <c r="D37" s="1">
        <v>0</v>
      </c>
      <c r="E37" s="1">
        <f t="shared" si="0"/>
        <v>0</v>
      </c>
      <c r="G37" s="1">
        <v>0</v>
      </c>
      <c r="H37" s="1">
        <f t="shared" si="19"/>
        <v>0</v>
      </c>
      <c r="S37" s="1">
        <v>3</v>
      </c>
      <c r="T37" s="1">
        <f t="shared" si="3"/>
        <v>26.19</v>
      </c>
      <c r="V37" s="1">
        <v>12</v>
      </c>
      <c r="W37" s="1">
        <f t="shared" si="4"/>
        <v>104.76</v>
      </c>
      <c r="Y37" s="1">
        <v>3</v>
      </c>
      <c r="Z37" s="1">
        <f t="shared" si="5"/>
        <v>26.19</v>
      </c>
      <c r="AB37" s="1">
        <v>0</v>
      </c>
      <c r="AC37" s="1">
        <f t="shared" si="6"/>
        <v>0</v>
      </c>
      <c r="AE37" s="1">
        <v>5</v>
      </c>
      <c r="AF37" s="1">
        <f t="shared" si="7"/>
        <v>43.65</v>
      </c>
      <c r="AH37" s="1">
        <v>3</v>
      </c>
      <c r="AI37" s="1">
        <f t="shared" si="8"/>
        <v>26.19</v>
      </c>
      <c r="AK37" s="1">
        <v>0</v>
      </c>
      <c r="AL37" s="1">
        <f t="shared" si="9"/>
        <v>0</v>
      </c>
      <c r="AN37" s="1">
        <v>3</v>
      </c>
      <c r="AO37" s="1">
        <f t="shared" si="10"/>
        <v>26.19</v>
      </c>
      <c r="AQ37" s="1">
        <v>7</v>
      </c>
      <c r="AR37" s="1">
        <f t="shared" si="11"/>
        <v>61.11</v>
      </c>
      <c r="BK37" s="2">
        <v>0</v>
      </c>
      <c r="BL37" s="1">
        <f t="shared" si="14"/>
        <v>0</v>
      </c>
      <c r="BN37" s="1">
        <f t="shared" si="15"/>
        <v>0</v>
      </c>
    </row>
    <row r="38" spans="1:77">
      <c r="A38" s="1" t="s">
        <v>347</v>
      </c>
      <c r="B38" s="1" t="s">
        <v>44</v>
      </c>
      <c r="C38" s="1">
        <v>10.59</v>
      </c>
      <c r="D38" s="1">
        <v>0</v>
      </c>
      <c r="E38" s="1">
        <f t="shared" si="0"/>
        <v>0</v>
      </c>
      <c r="G38" s="1">
        <v>0</v>
      </c>
      <c r="H38" s="1">
        <f t="shared" si="19"/>
        <v>0</v>
      </c>
      <c r="S38" s="1">
        <v>2</v>
      </c>
      <c r="T38" s="1">
        <f t="shared" si="3"/>
        <v>21.18</v>
      </c>
      <c r="V38" s="1">
        <v>3</v>
      </c>
      <c r="W38" s="1">
        <f t="shared" si="4"/>
        <v>31.77</v>
      </c>
      <c r="Y38" s="1">
        <v>0</v>
      </c>
      <c r="Z38" s="1">
        <f t="shared" si="5"/>
        <v>0</v>
      </c>
      <c r="AB38" s="1">
        <v>0</v>
      </c>
      <c r="AC38" s="1">
        <f t="shared" si="6"/>
        <v>0</v>
      </c>
      <c r="AE38" s="1">
        <v>1</v>
      </c>
      <c r="AF38" s="1">
        <f t="shared" si="7"/>
        <v>10.59</v>
      </c>
      <c r="AH38" s="1">
        <v>2</v>
      </c>
      <c r="AI38" s="1">
        <f t="shared" si="8"/>
        <v>21.18</v>
      </c>
      <c r="AK38" s="1">
        <v>0</v>
      </c>
      <c r="AL38" s="1">
        <f t="shared" si="9"/>
        <v>0</v>
      </c>
      <c r="AN38" s="1">
        <v>0</v>
      </c>
      <c r="AO38" s="1">
        <f t="shared" si="10"/>
        <v>0</v>
      </c>
      <c r="AQ38" s="1">
        <v>2</v>
      </c>
      <c r="AR38" s="1">
        <f t="shared" si="11"/>
        <v>21.18</v>
      </c>
      <c r="BK38" s="2">
        <v>0</v>
      </c>
      <c r="BL38" s="1">
        <f t="shared" si="14"/>
        <v>0</v>
      </c>
      <c r="BN38" s="1">
        <f t="shared" si="15"/>
        <v>0</v>
      </c>
    </row>
    <row r="39" spans="1:77">
      <c r="A39" s="1" t="s">
        <v>347</v>
      </c>
      <c r="B39" s="1" t="s">
        <v>45</v>
      </c>
      <c r="C39" s="1">
        <v>12.4</v>
      </c>
      <c r="D39" s="1">
        <v>0</v>
      </c>
      <c r="E39" s="1">
        <f t="shared" si="0"/>
        <v>0</v>
      </c>
      <c r="G39" s="1">
        <v>0</v>
      </c>
      <c r="H39" s="1">
        <f t="shared" si="19"/>
        <v>0</v>
      </c>
      <c r="S39" s="1">
        <v>0</v>
      </c>
      <c r="T39" s="1">
        <f t="shared" si="3"/>
        <v>0</v>
      </c>
      <c r="V39" s="1">
        <v>0</v>
      </c>
      <c r="W39" s="1">
        <f t="shared" si="4"/>
        <v>0</v>
      </c>
      <c r="Y39" s="1">
        <v>0</v>
      </c>
      <c r="Z39" s="1">
        <f t="shared" si="5"/>
        <v>0</v>
      </c>
      <c r="AB39" s="1">
        <v>0</v>
      </c>
      <c r="AC39" s="1">
        <f t="shared" si="6"/>
        <v>0</v>
      </c>
      <c r="AE39" s="1">
        <v>1</v>
      </c>
      <c r="AF39" s="1">
        <f t="shared" si="7"/>
        <v>12.4</v>
      </c>
      <c r="AH39" s="1">
        <v>0</v>
      </c>
      <c r="AI39" s="1">
        <f t="shared" si="8"/>
        <v>0</v>
      </c>
      <c r="AK39" s="1">
        <v>0</v>
      </c>
      <c r="AL39" s="1">
        <f t="shared" si="9"/>
        <v>0</v>
      </c>
      <c r="AN39" s="1">
        <v>0</v>
      </c>
      <c r="AO39" s="1">
        <f t="shared" si="10"/>
        <v>0</v>
      </c>
      <c r="AQ39" s="1">
        <v>0</v>
      </c>
      <c r="AR39" s="1">
        <f t="shared" si="11"/>
        <v>0</v>
      </c>
      <c r="BK39" s="2">
        <v>0</v>
      </c>
      <c r="BL39" s="1">
        <f t="shared" si="14"/>
        <v>0</v>
      </c>
      <c r="BN39" s="1">
        <f t="shared" si="15"/>
        <v>0</v>
      </c>
    </row>
    <row r="40" spans="1:77">
      <c r="E40" s="1">
        <f>SUM(E4:E39)</f>
        <v>33891.09</v>
      </c>
      <c r="H40" s="1">
        <f>SUM(H33:H39)</f>
        <v>2379.25</v>
      </c>
      <c r="K40" s="1">
        <f>SUM(K4:K39)</f>
        <v>14989.26</v>
      </c>
      <c r="M40" s="1">
        <f>192.17+124.53+28*2+25</f>
        <v>397.7</v>
      </c>
      <c r="Q40" s="1">
        <f>SUM(Q4:Q39)</f>
        <v>16613.84</v>
      </c>
      <c r="T40" s="1">
        <f>SUM(T4:T39)</f>
        <v>35753.98</v>
      </c>
      <c r="W40" s="1">
        <f>SUM(W4:W39)</f>
        <v>36737.77</v>
      </c>
      <c r="Z40" s="1">
        <f>SUM(Z4:Z39)</f>
        <v>35832.72</v>
      </c>
      <c r="AC40" s="1">
        <f>SUM(AC4:AC39)</f>
        <v>37615.89</v>
      </c>
      <c r="AF40" s="1">
        <f>SUM(AF4:AF39)</f>
        <v>37381.01</v>
      </c>
      <c r="AI40" s="1">
        <f>SUM(AI4:AI39)</f>
        <v>37372.23</v>
      </c>
      <c r="AL40" s="1">
        <f>SUM(AL4:AL39)</f>
        <v>37741.3</v>
      </c>
      <c r="AO40" s="1">
        <f>SUM(AO4:AO39)</f>
        <v>37174.66</v>
      </c>
      <c r="AR40" s="1">
        <f>SUM(AR4:AR39)</f>
        <v>35654.62</v>
      </c>
      <c r="BH40" s="1">
        <f>15110.88+80*28+25*40</f>
        <v>18350.88</v>
      </c>
      <c r="BJ40" s="1">
        <f>11479.16+28*80+25*40</f>
        <v>14719.16</v>
      </c>
      <c r="BL40" s="1">
        <f>11025.85+34*25+66*28+4*25</f>
        <v>13823.85</v>
      </c>
      <c r="BT40" s="1">
        <f>227.74+28*2+25</f>
        <v>308.74</v>
      </c>
      <c r="BY40" s="1">
        <f>305.9+25+28*2</f>
        <v>386.9</v>
      </c>
    </row>
    <row r="41" spans="1:77">
      <c r="E41" s="1" t="e">
        <f>E40+#REF!*28+#REF!*25+#REF!*25</f>
        <v>#REF!</v>
      </c>
      <c r="H41" s="1">
        <f>H40+16*28+19*25+13*25</f>
        <v>3627.25</v>
      </c>
      <c r="K41" s="1">
        <f>K40+78*28+39*25</f>
        <v>18148.26</v>
      </c>
      <c r="Q41" s="1">
        <f>Q40+127*28+3*25+65*25</f>
        <v>21869.84</v>
      </c>
      <c r="T41" s="1" t="e">
        <f>T40+#REF!*28+#REF!*25+#REF!*25</f>
        <v>#REF!</v>
      </c>
      <c r="W41" s="1">
        <f>28*188+25*31+25*102+W40</f>
        <v>45326.77</v>
      </c>
      <c r="Z41" s="1">
        <f>196*28+26*25+105*25+Z40</f>
        <v>44595.72</v>
      </c>
      <c r="AC41" s="1">
        <f>226*28+4*25+114*25+AC40</f>
        <v>46893.89</v>
      </c>
      <c r="AF41" s="1">
        <f>210*28+16*25+109*25+AF40</f>
        <v>46386.01</v>
      </c>
      <c r="AI41" s="1">
        <f>214*28+10*25+110*25+AI40</f>
        <v>46364.23</v>
      </c>
      <c r="AL41" s="1">
        <f>208*28+9*25+107*25+AL40</f>
        <v>46465.3</v>
      </c>
      <c r="AO41" s="1">
        <f>215*28+4*25+109*25+AO40</f>
        <v>46019.66</v>
      </c>
      <c r="AR41" s="1">
        <f>200*28+11*25+103*25+AR40</f>
        <v>44104.62</v>
      </c>
    </row>
    <row r="42" spans="1:77">
      <c r="BH42" s="1">
        <v>50.715</v>
      </c>
      <c r="BJ42" s="1">
        <v>50.715</v>
      </c>
      <c r="BL42" s="1">
        <v>43.133625</v>
      </c>
    </row>
    <row r="44" spans="1:77">
      <c r="AF44" s="1" t="s">
        <v>368</v>
      </c>
      <c r="AI44" s="1" t="s">
        <v>369</v>
      </c>
      <c r="AL44" s="1" t="s">
        <v>370</v>
      </c>
      <c r="AO44" s="1" t="s">
        <v>371</v>
      </c>
      <c r="AR44" s="1" t="s">
        <v>372</v>
      </c>
      <c r="BJ44" s="1">
        <v>14897.16</v>
      </c>
      <c r="BL44" s="1">
        <v>13869.69</v>
      </c>
    </row>
    <row r="47" spans="1:77">
      <c r="BJ47" s="1">
        <f>BJ44-BJ40</f>
        <v>178</v>
      </c>
      <c r="BL47" s="1">
        <f>BL44-BL40</f>
        <v>45.8400000000001</v>
      </c>
    </row>
  </sheetData>
  <mergeCells count="3">
    <mergeCell ref="BG3:BH3"/>
    <mergeCell ref="BI3:BJ3"/>
    <mergeCell ref="BK3:BL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Block 13-15&amp;23 Packing List </vt:lpstr>
      <vt:lpstr>1号</vt:lpstr>
      <vt:lpstr>Batch_01_ Remaining PPH+N_S</vt:lpstr>
      <vt:lpstr>Batch_01-1st E_W</vt:lpstr>
      <vt:lpstr>8.10 Batch_01-1st</vt:lpstr>
      <vt:lpstr>2号</vt:lpstr>
      <vt:lpstr>3号</vt:lpstr>
      <vt:lpstr>Batch_01_GW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</dc:creator>
  <cp:lastModifiedBy>Freundschaftfürimmer</cp:lastModifiedBy>
  <dcterms:created xsi:type="dcterms:W3CDTF">2026-07-25T09:35:00Z</dcterms:created>
  <dcterms:modified xsi:type="dcterms:W3CDTF">2026-09-24T12:35:29Z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5DC113D0AB654C56BC8D5DA34E9AE72F_13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2052-12.1.0.28505</vt:lpwstr>
  </property>
  <property fmtid="{D5CDD505-2E9C-101B-9397-08002B2CF9AE}" pid="5" name="CalculationRule">
    <vt:i4>1</vt:i4>
  </property>
</Properties>
</file>