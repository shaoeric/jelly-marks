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1720" firstSheet="21" activeTab="37"/>
  </bookViews>
  <sheets>
    <sheet name="1" sheetId="65" r:id="rId1"/>
    <sheet name="2" sheetId="105" r:id="rId2"/>
    <sheet name="3" sheetId="106" r:id="rId3"/>
    <sheet name="4" sheetId="107" r:id="rId4"/>
    <sheet name="5" sheetId="224" r:id="rId5"/>
    <sheet name="6" sheetId="109" r:id="rId6"/>
    <sheet name="7" sheetId="110" r:id="rId7"/>
    <sheet name="8" sheetId="111" r:id="rId8"/>
    <sheet name="9" sheetId="112" r:id="rId9"/>
    <sheet name="10" sheetId="113" r:id="rId10"/>
    <sheet name="11" sheetId="114" r:id="rId11"/>
    <sheet name="12" sheetId="115" r:id="rId12"/>
    <sheet name="13" sheetId="116" r:id="rId13"/>
    <sheet name="14" sheetId="117" r:id="rId14"/>
    <sheet name="15" sheetId="118" r:id="rId15"/>
    <sheet name="16" sheetId="119" r:id="rId16"/>
    <sheet name="17" sheetId="120" r:id="rId17"/>
    <sheet name="18" sheetId="225" r:id="rId18"/>
    <sheet name="19" sheetId="226" r:id="rId19"/>
    <sheet name="20" sheetId="227" r:id="rId20"/>
    <sheet name="21" sheetId="228" r:id="rId21"/>
    <sheet name="22" sheetId="229" r:id="rId22"/>
    <sheet name="23" sheetId="230" r:id="rId23"/>
    <sheet name="24" sheetId="231" r:id="rId24"/>
    <sheet name="25" sheetId="232" r:id="rId25"/>
    <sheet name="26" sheetId="233" r:id="rId26"/>
    <sheet name="27" sheetId="234" r:id="rId27"/>
    <sheet name="28" sheetId="235" r:id="rId28"/>
    <sheet name="29" sheetId="236" r:id="rId29"/>
    <sheet name="30" sheetId="237" r:id="rId30"/>
    <sheet name="31" sheetId="238" r:id="rId31"/>
    <sheet name="32" sheetId="239" r:id="rId32"/>
    <sheet name="33" sheetId="240" r:id="rId33"/>
    <sheet name="34" sheetId="241" r:id="rId34"/>
    <sheet name="35" sheetId="242" r:id="rId35"/>
    <sheet name="36" sheetId="243" r:id="rId36"/>
    <sheet name="37" sheetId="244" r:id="rId37"/>
    <sheet name="38" sheetId="245" r:id="rId38"/>
    <sheet name="39" sheetId="246" r:id="rId39"/>
    <sheet name="40" sheetId="247" r:id="rId40"/>
    <sheet name="1 (2)" sheetId="248" r:id="rId41"/>
    <sheet name="2 (2)" sheetId="249" r:id="rId42"/>
    <sheet name="3 (2)" sheetId="250" r:id="rId43"/>
    <sheet name="4 (2)" sheetId="251" r:id="rId44"/>
    <sheet name="5 (2)" sheetId="252" r:id="rId45"/>
    <sheet name="6 (2)" sheetId="253" r:id="rId46"/>
    <sheet name="7 (2)" sheetId="254" r:id="rId47"/>
    <sheet name="8 (2)" sheetId="255" r:id="rId48"/>
    <sheet name="9 (2)" sheetId="256" r:id="rId49"/>
    <sheet name="10 (2)" sheetId="257" r:id="rId50"/>
    <sheet name="11 (2)" sheetId="258" r:id="rId51"/>
    <sheet name="12 (2)" sheetId="259" r:id="rId52"/>
    <sheet name="13 (2)" sheetId="260" r:id="rId53"/>
    <sheet name="14 (2)" sheetId="261" r:id="rId54"/>
    <sheet name="15 (2)" sheetId="262" r:id="rId55"/>
    <sheet name="16 (2)" sheetId="263" r:id="rId56"/>
    <sheet name="17 (2)" sheetId="264" r:id="rId57"/>
    <sheet name="18 (2)" sheetId="265" r:id="rId58"/>
    <sheet name="19 (2)" sheetId="266" r:id="rId59"/>
    <sheet name="20 (2)" sheetId="267" r:id="rId60"/>
    <sheet name="21 (2)" sheetId="268" r:id="rId61"/>
    <sheet name="22 (2)" sheetId="269" r:id="rId62"/>
    <sheet name="23 (2)" sheetId="270" r:id="rId63"/>
    <sheet name="24 (2)" sheetId="271" r:id="rId64"/>
    <sheet name="25 (2)" sheetId="272" r:id="rId65"/>
    <sheet name="26 (2)" sheetId="273" r:id="rId66"/>
    <sheet name="67" sheetId="274" r:id="rId67"/>
    <sheet name="68" sheetId="275" r:id="rId68"/>
    <sheet name="69" sheetId="276" r:id="rId69"/>
    <sheet name="70" sheetId="277" r:id="rId70"/>
    <sheet name="71" sheetId="278" r:id="rId71"/>
    <sheet name="72" sheetId="279" r:id="rId72"/>
    <sheet name="33 (2)" sheetId="280" r:id="rId73"/>
    <sheet name="34 (2)" sheetId="281" r:id="rId74"/>
    <sheet name="35 (2)" sheetId="282" r:id="rId75"/>
    <sheet name="36 (2)" sheetId="283" r:id="rId76"/>
    <sheet name="37 (2)" sheetId="284" r:id="rId77"/>
    <sheet name="38 (2)" sheetId="285" r:id="rId78"/>
    <sheet name="39 (2)" sheetId="286" r:id="rId79"/>
    <sheet name="40 (2)" sheetId="287" r:id="rId80"/>
    <sheet name="1 (3)" sheetId="288" r:id="rId81"/>
    <sheet name="2 (3)" sheetId="289" r:id="rId82"/>
    <sheet name="3 (3)" sheetId="290" r:id="rId83"/>
    <sheet name="4 (3)" sheetId="291" r:id="rId84"/>
    <sheet name="5 (3)" sheetId="292" r:id="rId85"/>
    <sheet name="6 (3)" sheetId="293" r:id="rId86"/>
    <sheet name="7 (3)" sheetId="294" r:id="rId87"/>
    <sheet name="8 (3)" sheetId="295" r:id="rId88"/>
    <sheet name="9 (3)" sheetId="296" r:id="rId89"/>
    <sheet name="10 (3)" sheetId="297" r:id="rId90"/>
    <sheet name="11 (3)" sheetId="298" r:id="rId91"/>
    <sheet name="12 (3)" sheetId="299" r:id="rId92"/>
    <sheet name="13 (3)" sheetId="300" r:id="rId93"/>
    <sheet name="14 (3)" sheetId="301" r:id="rId94"/>
    <sheet name="15 (3)" sheetId="302" r:id="rId95"/>
    <sheet name="16 (3)" sheetId="303" r:id="rId96"/>
    <sheet name="17 (3)" sheetId="304" r:id="rId97"/>
    <sheet name="18 (3)" sheetId="305" r:id="rId98"/>
    <sheet name="19 (3)" sheetId="306" r:id="rId99"/>
    <sheet name="20 (3)" sheetId="307" r:id="rId100"/>
    <sheet name="21 (3)" sheetId="308" r:id="rId101"/>
    <sheet name="22 (3)" sheetId="309" r:id="rId102"/>
    <sheet name="23 (3)" sheetId="310" r:id="rId103"/>
    <sheet name="24 (3)" sheetId="311" r:id="rId104"/>
    <sheet name="25 (3)" sheetId="312" r:id="rId105"/>
    <sheet name="26 (3)" sheetId="313" r:id="rId106"/>
    <sheet name="27 (3)" sheetId="314" r:id="rId107"/>
    <sheet name="28 (3)" sheetId="315" r:id="rId108"/>
    <sheet name="29 (3)" sheetId="316" r:id="rId109"/>
    <sheet name="30 (3)" sheetId="317" r:id="rId110"/>
    <sheet name="31 (3)" sheetId="318" r:id="rId111"/>
    <sheet name="32 (3)" sheetId="319" r:id="rId112"/>
    <sheet name="33 (3)" sheetId="320" r:id="rId113"/>
    <sheet name="34 (3)" sheetId="321" r:id="rId114"/>
  </sheets>
  <externalReferences>
    <externalReference r:id="rId115"/>
    <externalReference r:id="rId116"/>
  </externalReferences>
  <definedNames>
    <definedName name="_xlnm._FilterDatabase" localSheetId="78" hidden="1">'39 (2)'!$A$9:$C$24</definedName>
    <definedName name="_xlnm.Print_Area" localSheetId="0">'1'!$A$1:$C$23</definedName>
    <definedName name="_xlnm.Print_Area" localSheetId="1">'2'!$A$1:$C$23</definedName>
    <definedName name="_xlnm.Print_Area" localSheetId="2">'3'!$A$1:$C$23</definedName>
    <definedName name="_xlnm.Print_Area" localSheetId="3">'4'!$A$1:$C$23</definedName>
    <definedName name="_xlnm.Print_Area" localSheetId="5">'6'!$A$1:$C$23</definedName>
    <definedName name="_xlnm.Print_Area" localSheetId="6">'7'!$A$1:$C$23</definedName>
    <definedName name="_xlnm.Print_Area" localSheetId="7">'8'!$A$1:$C$23</definedName>
    <definedName name="_xlnm.Print_Area" localSheetId="8">'9'!$A$1:$C$23</definedName>
    <definedName name="_xlnm.Print_Area" localSheetId="9">'10'!$A$1:$C$25</definedName>
    <definedName name="_xlnm.Print_Area" localSheetId="10">'11'!$A$1:$C$23</definedName>
    <definedName name="_xlnm.Print_Area" localSheetId="11">'12'!$A$1:$C$23</definedName>
    <definedName name="_xlnm.Print_Area" localSheetId="12">'13'!$A$1:$C$27</definedName>
    <definedName name="_xlnm.Print_Area" localSheetId="13">'14'!$A$1:$C$27</definedName>
    <definedName name="_xlnm.Print_Area" localSheetId="14">'15'!$A$1:$C$25</definedName>
    <definedName name="_xlnm.Print_Area" localSheetId="15">'16'!$A$1:$C$25</definedName>
    <definedName name="_xlnm.Print_Area" localSheetId="16">'17'!$A$1:$C$23</definedName>
    <definedName name="_xlnm.Print_Area" localSheetId="4">'5'!$A$1:$C$23</definedName>
    <definedName name="_xlnm.Print_Area" localSheetId="17">'18'!$A$1:$C$23</definedName>
    <definedName name="_xlnm.Print_Area" localSheetId="18">'19'!$A$1:$C$23</definedName>
    <definedName name="_xlnm.Print_Area" localSheetId="19">'20'!$A$1:$C$23</definedName>
    <definedName name="_xlnm.Print_Area" localSheetId="20">'21'!$A$1:$C$23</definedName>
    <definedName name="_xlnm.Print_Area" localSheetId="21">'22'!$A$1:$C$23</definedName>
    <definedName name="_xlnm.Print_Area" localSheetId="22">'23'!$A$1:$C$23</definedName>
    <definedName name="_xlnm.Print_Area" localSheetId="23">'24'!$A$1:$C$23</definedName>
    <definedName name="_xlnm.Print_Area" localSheetId="24">'25'!$A$1:$C$23</definedName>
    <definedName name="_xlnm.Print_Area" localSheetId="25">'26'!$A$1:$C$23</definedName>
    <definedName name="_xlnm.Print_Area" localSheetId="26">'27'!$A$1:$C$23</definedName>
    <definedName name="_xlnm.Print_Area" localSheetId="27">'28'!$A$1:$C$23</definedName>
    <definedName name="_xlnm.Print_Area" localSheetId="28">'29'!$A$1:$C$23</definedName>
    <definedName name="_xlnm.Print_Area" localSheetId="29">'30'!$A$1:$C$23</definedName>
    <definedName name="_xlnm.Print_Area" localSheetId="30">'31'!$A$1:$C$23</definedName>
    <definedName name="_xlnm.Print_Area" localSheetId="31">'32'!$A$1:$C$23</definedName>
    <definedName name="_xlnm.Print_Area" localSheetId="32">'33'!$A$1:$C$23</definedName>
    <definedName name="_xlnm.Print_Area" localSheetId="33">'34'!$A$1:$C$23</definedName>
    <definedName name="_xlnm.Print_Area" localSheetId="34">'35'!$A$1:$C$23</definedName>
    <definedName name="_xlnm.Print_Area" localSheetId="35">'36'!$A$1:$C$23</definedName>
    <definedName name="_xlnm.Print_Area" localSheetId="36">'37'!$A$1:$C$23</definedName>
    <definedName name="_xlnm.Print_Area" localSheetId="37">'38'!$A$1:$C$23</definedName>
    <definedName name="_xlnm.Print_Area" localSheetId="38">'39'!$A$1:$C$27</definedName>
    <definedName name="_xlnm.Print_Area" localSheetId="39">'40'!$A$1:$C$27</definedName>
    <definedName name="_xlnm.Print_Area" localSheetId="40">'1 (2)'!$A$1:$C$25</definedName>
    <definedName name="_xlnm.Print_Area" localSheetId="41">'2 (2)'!$A$1:$C$23</definedName>
    <definedName name="_xlnm.Print_Area" localSheetId="42">'3 (2)'!$A$1:$C$23</definedName>
    <definedName name="_xlnm.Print_Area" localSheetId="43">'4 (2)'!$A$1:$C$23</definedName>
    <definedName name="_xlnm.Print_Area" localSheetId="44">'5 (2)'!$A$1:$C$23</definedName>
    <definedName name="_xlnm.Print_Area" localSheetId="45">'6 (2)'!$A$1:$C$23</definedName>
    <definedName name="_xlnm.Print_Area" localSheetId="46">'7 (2)'!$A$1:$C$23</definedName>
    <definedName name="_xlnm.Print_Area" localSheetId="47">'8 (2)'!$A$1:$C$23</definedName>
    <definedName name="_xlnm.Print_Area" localSheetId="48">'9 (2)'!$A$1:$C$23</definedName>
    <definedName name="_xlnm.Print_Area" localSheetId="49">'10 (2)'!$A$1:$C$23</definedName>
    <definedName name="_xlnm.Print_Area" localSheetId="50">'11 (2)'!$A$1:$C$23</definedName>
    <definedName name="_xlnm.Print_Area" localSheetId="51">'12 (2)'!$A$1:$C$22</definedName>
    <definedName name="_xlnm.Print_Area" localSheetId="52">'13 (2)'!$A$1:$C$24</definedName>
    <definedName name="_xlnm.Print_Area" localSheetId="53">'14 (2)'!$A$1:$C$22</definedName>
    <definedName name="_xlnm.Print_Area" localSheetId="54">'15 (2)'!$A$1:$C$24</definedName>
    <definedName name="_xlnm.Print_Area" localSheetId="55">'16 (2)'!$A$1:$C$22</definedName>
    <definedName name="_xlnm.Print_Area" localSheetId="56">'17 (2)'!$A$1:$C$24</definedName>
    <definedName name="_xlnm.Print_Area" localSheetId="57">'18 (2)'!$A$1:$C$22</definedName>
    <definedName name="_xlnm.Print_Area" localSheetId="58">'19 (2)'!$A$1:$C$24</definedName>
    <definedName name="_xlnm.Print_Area" localSheetId="59">'20 (2)'!$A$1:$C$22</definedName>
    <definedName name="_xlnm.Print_Area" localSheetId="60">'21 (2)'!$A$1:$C$24</definedName>
    <definedName name="_xlnm.Print_Area" localSheetId="61">'22 (2)'!$A$1:$C$24</definedName>
    <definedName name="_xlnm.Print_Area" localSheetId="62">'23 (2)'!$A$1:$C$24</definedName>
    <definedName name="_xlnm.Print_Area" localSheetId="63">'24 (2)'!$A$1:$C$24</definedName>
    <definedName name="_xlnm.Print_Area" localSheetId="64">'25 (2)'!$A$1:$C$24</definedName>
    <definedName name="_xlnm.Print_Area" localSheetId="65">'26 (2)'!$A$1:$C$24</definedName>
    <definedName name="_xlnm.Print_Area" localSheetId="66">'67'!$A$1:$C$22</definedName>
    <definedName name="_xlnm.Print_Area" localSheetId="67">'68'!$A$1:$C$24</definedName>
    <definedName name="_xlnm.Print_Area" localSheetId="68">'69'!$A$1:$C$22</definedName>
    <definedName name="_xlnm.Print_Area" localSheetId="69">'70'!$A$1:$C$24</definedName>
    <definedName name="_xlnm.Print_Area" localSheetId="70">'71'!$A$1:$C$22</definedName>
    <definedName name="_xlnm.Print_Area" localSheetId="71">'72'!$A$1:$C$24</definedName>
    <definedName name="_xlnm.Print_Area" localSheetId="72">'33 (2)'!$A$1:$C$27</definedName>
    <definedName name="_xlnm.Print_Area" localSheetId="73">'34 (2)'!$A$1:$C$27</definedName>
    <definedName name="_xlnm.Print_Area" localSheetId="74">'35 (2)'!$A$1:$C$27</definedName>
    <definedName name="_xlnm.Print_Area" localSheetId="75">'36 (2)'!$A$1:$C$27</definedName>
    <definedName name="_xlnm.Print_Area" localSheetId="76">'37 (2)'!$A$1:$C$27</definedName>
    <definedName name="_xlnm.Print_Area" localSheetId="77">'38 (2)'!$A$1:$C$25</definedName>
    <definedName name="_xlnm.Print_Area" localSheetId="78">'39 (2)'!$A$1:$C$24</definedName>
    <definedName name="_xlnm.Print_Area" localSheetId="79">'40 (2)'!$A$1:$C$24</definedName>
    <definedName name="_xlnm.Print_Area" localSheetId="80">'1 (3)'!$A$1:$C$27</definedName>
    <definedName name="_xlnm.Print_Area" localSheetId="81">'2 (3)'!$A$1:$C$25</definedName>
    <definedName name="_xlnm.Print_Area" localSheetId="82">'3 (3)'!$A$1:$C$25</definedName>
    <definedName name="_xlnm.Print_Area" localSheetId="83">'4 (3)'!$A$1:$C$25</definedName>
    <definedName name="_xlnm.Print_Area" localSheetId="84">'5 (3)'!$A$1:$C$25</definedName>
    <definedName name="_xlnm.Print_Area" localSheetId="85">'6 (3)'!$A$1:$C$34</definedName>
    <definedName name="_xlnm.Print_Area" localSheetId="86">'7 (3)'!$A$1:$C$25</definedName>
    <definedName name="_xlnm.Print_Area" localSheetId="87">'8 (3)'!$A$1:$C$25</definedName>
    <definedName name="_xlnm.Print_Area" localSheetId="88">'9 (3)'!$A$1:$C$25</definedName>
    <definedName name="_xlnm.Print_Area" localSheetId="89">'10 (3)'!$A$1:$C$27</definedName>
    <definedName name="_xlnm.Print_Area" localSheetId="90">'11 (3)'!$A$1:$C$27</definedName>
    <definedName name="_xlnm.Print_Area" localSheetId="91">'12 (3)'!$A$1:$C$25</definedName>
    <definedName name="_xlnm.Print_Area" localSheetId="92">'13 (3)'!$A$1:$C$25</definedName>
    <definedName name="_xlnm.Print_Area" localSheetId="93">'14 (3)'!$A$1:$C$25</definedName>
    <definedName name="_xlnm.Print_Area" localSheetId="94">'15 (3)'!$A$1:$C$25</definedName>
    <definedName name="_xlnm.Print_Area" localSheetId="95">'16 (3)'!$A$1:$C$25</definedName>
    <definedName name="_xlnm.Print_Area" localSheetId="96">'17 (3)'!$A$1:$C$25</definedName>
    <definedName name="_xlnm.Print_Area" localSheetId="97">'18 (3)'!$A$1:$C$25</definedName>
    <definedName name="_xlnm.Print_Area" localSheetId="98">'19 (3)'!$A$1:$C$25</definedName>
    <definedName name="_xlnm.Print_Area" localSheetId="99">'20 (3)'!$A$1:$C$23</definedName>
    <definedName name="_xlnm.Print_Area" localSheetId="100">'21 (3)'!$A$1:$C$23</definedName>
    <definedName name="_xlnm.Print_Area" localSheetId="101">'22 (3)'!$A$1:$C$21</definedName>
    <definedName name="_xlnm.Print_Area" localSheetId="102">'23 (3)'!$A$1:$C$21</definedName>
    <definedName name="_xlnm.Print_Area" localSheetId="103">'24 (3)'!$A$1:$C$21</definedName>
    <definedName name="_xlnm.Print_Area" localSheetId="104">'25 (3)'!$A$1:$C$21</definedName>
    <definedName name="_xlnm.Print_Area" localSheetId="105">'26 (3)'!$A$1:$C$22</definedName>
    <definedName name="_xlnm.Print_Area" localSheetId="106">'27 (3)'!$A$1:$C$18</definedName>
    <definedName name="_xlnm.Print_Area" localSheetId="107">'28 (3)'!$A$1:$C$18</definedName>
    <definedName name="_xlnm.Print_Area" localSheetId="108">'29 (3)'!$A$1:$C$18</definedName>
    <definedName name="_xlnm.Print_Area" localSheetId="109">'30 (3)'!$A$1:$C$20</definedName>
    <definedName name="_xlnm.Print_Area" localSheetId="110">'31 (3)'!$A$1:$C$19</definedName>
    <definedName name="_xlnm.Print_Area" localSheetId="111">'32 (3)'!$A$1:$C$18</definedName>
    <definedName name="_xlnm.Print_Area" localSheetId="112">'33 (3)'!$A$1:$C$18</definedName>
    <definedName name="_xlnm.Print_Area" localSheetId="113">'34 (3)'!$A$1:$C$20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8913C71E3164241A1CD2B9CBBBF3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 rot="5400000">
          <a:off x="1310005" y="6933565"/>
          <a:ext cx="1735455" cy="20383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<sst xmlns="http://schemas.openxmlformats.org/spreadsheetml/2006/main" count="4149" uniqueCount="342">
  <si>
    <t>SUPPLIER ID:   4047270</t>
  </si>
  <si>
    <t>COUNTRY OF ORIGIN: THAILAND</t>
  </si>
  <si>
    <t>PROJECT NUMBER</t>
  </si>
  <si>
    <t>PROJECT NAME</t>
  </si>
  <si>
    <t>Wichita TX - 805MW - eBOS WHA</t>
  </si>
  <si>
    <t>SO NUMBER</t>
  </si>
  <si>
    <t>PO NUMBER</t>
  </si>
  <si>
    <t>UAE90711</t>
  </si>
  <si>
    <t>LOT NUMBER</t>
  </si>
  <si>
    <t>1-114</t>
  </si>
  <si>
    <t>PART NUMBER</t>
  </si>
  <si>
    <t>PART DESCRIPTION</t>
  </si>
  <si>
    <t>QUANTITY/PN</t>
  </si>
  <si>
    <t>PPH-9.P.RED.5.00003</t>
  </si>
  <si>
    <t>PPH,MRTSN,WCHTA,PPH,9-1,TP1,POS,RED</t>
  </si>
  <si>
    <t>PPH-9.N.BLK.0.00003</t>
  </si>
  <si>
    <t>PPH,MRTSN,WCHTA,PPH,9-1,TP1,NEG,BLK</t>
  </si>
  <si>
    <t>PPH-9.P.RED.5.00004</t>
  </si>
  <si>
    <t>PPH,MRTSN,WCHTA,PPH,9-1,TP2,POS,RED</t>
  </si>
  <si>
    <t>PPH-9.N.BLK.0.00004</t>
  </si>
  <si>
    <t>PPH,MRTSN,WCHTA,PPH,9-1,TP2,NEG,BLK</t>
  </si>
  <si>
    <t>SH-2.8.RED.BLK.00003</t>
  </si>
  <si>
    <t>MRTSN,WCHTA,SH,N/S,PAIR 2,#8CU-#6AL</t>
  </si>
  <si>
    <t>SH-2.8.RED.BLK.00006</t>
  </si>
  <si>
    <t>MRTSN,WCHTA,SH,N/S,PAIR 5,#8CU-#6AL</t>
  </si>
  <si>
    <t>SH-2.8.RED.BLK.00011</t>
  </si>
  <si>
    <t>MRTSN,WCHTA,SH,N/S,PAIR 10,#8CU-#6AL,XTRACKER</t>
  </si>
  <si>
    <t>WEIGHT (IN KG)</t>
  </si>
  <si>
    <t>DIMENSIONS (MM) LxWxH</t>
  </si>
  <si>
    <t>1050 x 1050 x 1150 mm</t>
  </si>
  <si>
    <t>TYPE OF STORAGE</t>
  </si>
  <si>
    <t>INDOOR</t>
  </si>
  <si>
    <t>STACKABILITY</t>
  </si>
  <si>
    <t>NO</t>
  </si>
  <si>
    <t>BLOCK NUMBER</t>
  </si>
  <si>
    <t>CMB.013.3.01</t>
  </si>
  <si>
    <t>PART PHOTO</t>
  </si>
  <si>
    <t>2-114</t>
  </si>
  <si>
    <t>465.34</t>
  </si>
  <si>
    <r>
      <rPr>
        <b/>
        <sz val="10"/>
        <color theme="1"/>
        <rFont val="Neue Montreal"/>
        <charset val="134"/>
      </rPr>
      <t>CMB.013.3.01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CMB.013.3.02</t>
    </r>
  </si>
  <si>
    <t>3-114</t>
  </si>
  <si>
    <t>CMB.013.3.02</t>
  </si>
  <si>
    <t>4-114</t>
  </si>
  <si>
    <t>PPH-9.P.RED.5.00012</t>
  </si>
  <si>
    <t>PPH,MRTSN,WCHTA,PPH,9-1,TP10,POS,RED</t>
  </si>
  <si>
    <t>PPH-9.N.BLK.0.00012</t>
  </si>
  <si>
    <t>PPH,MRTSN,WCHTA,PPH,9-1,TP10,NEG,BLK</t>
  </si>
  <si>
    <t>SH-2.8.RED.BLK.00012</t>
  </si>
  <si>
    <t>MRTSN,WCHTA,SH,N/S,PAIR 11,#8CU-#6AL,XTRACKER</t>
  </si>
  <si>
    <t>CMB.013.3.03</t>
  </si>
  <si>
    <t>5-114</t>
  </si>
  <si>
    <t>466.38</t>
  </si>
  <si>
    <t>CMB.013.3.04</t>
  </si>
  <si>
    <t>6-114</t>
  </si>
  <si>
    <t>CMB.013.4.05</t>
  </si>
  <si>
    <t>7-114</t>
  </si>
  <si>
    <t>CMB.013.4.05，CMB.013.4.06</t>
  </si>
  <si>
    <t>8-114</t>
  </si>
  <si>
    <t>CMB.013.4.06</t>
  </si>
  <si>
    <t>9-114</t>
  </si>
  <si>
    <t>CMB.013.4.07</t>
  </si>
  <si>
    <t>10-114</t>
  </si>
  <si>
    <t>PPH-10.P.RED.5.00004</t>
  </si>
  <si>
    <t>PPH-10.N.BLK.0.00005</t>
  </si>
  <si>
    <r>
      <rPr>
        <b/>
        <sz val="10"/>
        <color theme="1"/>
        <rFont val="Neue Montreal"/>
        <charset val="134"/>
      </rPr>
      <t>CMB.013.4.07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CMB.014.2.19</t>
    </r>
  </si>
  <si>
    <t>11-114</t>
  </si>
  <si>
    <t>CMB.013.4.08</t>
  </si>
  <si>
    <t>12-114</t>
  </si>
  <si>
    <t>CMB.013.4.09</t>
  </si>
  <si>
    <t>13-114</t>
  </si>
  <si>
    <t>PPH-9.P.RED.5.00009</t>
  </si>
  <si>
    <t>PPH,MRTSN,WCHTA,PPH,9-1,TP7,POS,RED</t>
  </si>
  <si>
    <t>PPH-9.N.BLK.0.00009</t>
  </si>
  <si>
    <t>PPH,MRTSN,WCHTA,PPH,9-1,TP7,NEG,BLK</t>
  </si>
  <si>
    <t>PPH-5.P.RED.5.00002</t>
  </si>
  <si>
    <t>PPH,MRTSN,WCHTA,PPH,5-1,TP2,POS,RED</t>
  </si>
  <si>
    <t>PPH-5.N.BLK.0.00016</t>
  </si>
  <si>
    <t>PPH,MRTSN,WCHTA,PPH,5-1,TP2,NEG,BLK</t>
  </si>
  <si>
    <t>SH-2.8.RED.BLK.00005</t>
  </si>
  <si>
    <t>MRTSN,WCHTA,SH,N/S,PAIR 4,#8CU-#6AL</t>
  </si>
  <si>
    <t>SH-2.8.RED.BLK.00009</t>
  </si>
  <si>
    <t>MRTSN,WCHTA,SH,N/S,PAIR 8,#8CU-#6AL</t>
  </si>
  <si>
    <t>CMB.013.2.10</t>
  </si>
  <si>
    <t>14-114</t>
  </si>
  <si>
    <t>CMB.013.2.11</t>
  </si>
  <si>
    <t>15-114</t>
  </si>
  <si>
    <t>PPH,MRTSN,WCHTA,PPH,10--1,TP4,POS,RED</t>
  </si>
  <si>
    <t>PPH,MRTSN,WCHTA,PPH,10--1,TP4,NEG,BLK</t>
  </si>
  <si>
    <t>467.4</t>
  </si>
  <si>
    <t>CMB.013.1.12</t>
  </si>
  <si>
    <t>16-114</t>
  </si>
  <si>
    <t>CMB.013.1.13</t>
  </si>
  <si>
    <t>17-114</t>
  </si>
  <si>
    <t>CMB.013.1.14</t>
  </si>
  <si>
    <t>18-114</t>
  </si>
  <si>
    <r>
      <rPr>
        <b/>
        <sz val="10"/>
        <color theme="1"/>
        <rFont val="Neue Montreal"/>
        <charset val="134"/>
      </rPr>
      <t>CMB.013.1.14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CMB.013.1.15</t>
    </r>
  </si>
  <si>
    <t>19-114</t>
  </si>
  <si>
    <t>CMB.013.1.15</t>
  </si>
  <si>
    <t>20-114</t>
  </si>
  <si>
    <t>CMB.013.1.16</t>
  </si>
  <si>
    <t>21-114</t>
  </si>
  <si>
    <r>
      <rPr>
        <b/>
        <sz val="10"/>
        <color theme="1"/>
        <rFont val="Neue Montreal"/>
        <charset val="134"/>
      </rPr>
      <t>CMB.013.1.16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CMB.013.2.17</t>
    </r>
  </si>
  <si>
    <t>22-114</t>
  </si>
  <si>
    <t>CMB.013.2.17</t>
  </si>
  <si>
    <t>23-114</t>
  </si>
  <si>
    <t>CMB.013.2.18</t>
  </si>
  <si>
    <t>24-114</t>
  </si>
  <si>
    <r>
      <rPr>
        <b/>
        <sz val="10"/>
        <color theme="1"/>
        <rFont val="Neue Montreal"/>
        <charset val="134"/>
      </rPr>
      <t>CMB.013.2.18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CMB.013.2.19</t>
    </r>
  </si>
  <si>
    <t>25-114</t>
  </si>
  <si>
    <t>CMB.013.2.19</t>
  </si>
  <si>
    <t>26-114</t>
  </si>
  <si>
    <t>CMB.013.3.20</t>
  </si>
  <si>
    <t>27-114</t>
  </si>
  <si>
    <r>
      <rPr>
        <b/>
        <sz val="10"/>
        <color theme="1"/>
        <rFont val="Neue Montreal"/>
        <charset val="134"/>
      </rPr>
      <t>CMB.013.3.20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CMB.014.3.01</t>
    </r>
  </si>
  <si>
    <t>28-114</t>
  </si>
  <si>
    <t>CMB.014.3.01</t>
  </si>
  <si>
    <t>29-114</t>
  </si>
  <si>
    <t>CMB.014.3.02</t>
  </si>
  <si>
    <t>30-114</t>
  </si>
  <si>
    <r>
      <rPr>
        <b/>
        <sz val="10"/>
        <color theme="1"/>
        <rFont val="Neue Montreal"/>
        <charset val="134"/>
      </rPr>
      <t>CMB.014.3.02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CMB.014.3.03</t>
    </r>
  </si>
  <si>
    <t>31-114</t>
  </si>
  <si>
    <t>CMB.014.3.03</t>
  </si>
  <si>
    <t>32-114</t>
  </si>
  <si>
    <t>CMB.014.3.04</t>
  </si>
  <si>
    <t>33-114</t>
  </si>
  <si>
    <r>
      <rPr>
        <b/>
        <sz val="10"/>
        <color theme="1"/>
        <rFont val="Neue Montreal"/>
        <charset val="134"/>
      </rPr>
      <t>CMB.014.3.04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CMB.014.4.05</t>
    </r>
  </si>
  <si>
    <t>34-114</t>
  </si>
  <si>
    <t>CMB.014.4.05</t>
  </si>
  <si>
    <t>35-114</t>
  </si>
  <si>
    <t>CMB.014.4.06</t>
  </si>
  <si>
    <t>36-114</t>
  </si>
  <si>
    <r>
      <rPr>
        <b/>
        <sz val="10"/>
        <color theme="1"/>
        <rFont val="Neue Montreal"/>
        <charset val="134"/>
      </rPr>
      <t>CMB.014.4.06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CMB.014.4.07</t>
    </r>
  </si>
  <si>
    <t>37-114</t>
  </si>
  <si>
    <t>CMB.014.4.07</t>
  </si>
  <si>
    <t>38-114</t>
  </si>
  <si>
    <t>CMB.014.4.08</t>
  </si>
  <si>
    <t>39-114</t>
  </si>
  <si>
    <t>CMB.014.4.09</t>
  </si>
  <si>
    <t>40-114</t>
  </si>
  <si>
    <t>CMB.014.1.10</t>
  </si>
  <si>
    <t>41-114</t>
  </si>
  <si>
    <t>CMB.014.1.11</t>
  </si>
  <si>
    <t>42-114</t>
  </si>
  <si>
    <t>CMB.014.1.12</t>
  </si>
  <si>
    <t>43-114</t>
  </si>
  <si>
    <r>
      <rPr>
        <b/>
        <sz val="10"/>
        <color theme="1"/>
        <rFont val="Neue Montreal"/>
        <charset val="134"/>
      </rPr>
      <t>CMB.014.1.12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CMB.014.1.13</t>
    </r>
  </si>
  <si>
    <t>44-114</t>
  </si>
  <si>
    <t>CMB.014.1.13</t>
  </si>
  <si>
    <t>45-114</t>
  </si>
  <si>
    <t>CMB.014.1.14</t>
  </si>
  <si>
    <t>46-114</t>
  </si>
  <si>
    <r>
      <rPr>
        <b/>
        <sz val="10"/>
        <color theme="1"/>
        <rFont val="Neue Montreal"/>
        <charset val="134"/>
      </rPr>
      <t>CMB.014.1.14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CMB.014.2.15</t>
    </r>
  </si>
  <si>
    <t>47-114</t>
  </si>
  <si>
    <t>CMB.014.2.15</t>
  </si>
  <si>
    <t>48-114</t>
  </si>
  <si>
    <t>CMB.014.2.16</t>
  </si>
  <si>
    <t>49-114</t>
  </si>
  <si>
    <r>
      <rPr>
        <b/>
        <sz val="10"/>
        <color theme="1"/>
        <rFont val="Neue Montreal"/>
        <charset val="134"/>
      </rPr>
      <t>CMB.014.2.16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CMB.014.2.17</t>
    </r>
  </si>
  <si>
    <t>50-114</t>
  </si>
  <si>
    <t>CMB.014.2.17</t>
  </si>
  <si>
    <t>51-114</t>
  </si>
  <si>
    <t>PPH-9.P.RED.5.00010</t>
  </si>
  <si>
    <t>PPH,MRTSN,WCHTA,PPH,9-1,TP8,POS,RED</t>
  </si>
  <si>
    <t>PPH-9.N.BLK.0.00010</t>
  </si>
  <si>
    <t>PPH,MRTSN,WCHTA,PPH,9-1,TP8,NEG,BLK</t>
  </si>
  <si>
    <t>308.5</t>
  </si>
  <si>
    <t>CMB.015.3.01</t>
  </si>
  <si>
    <t>52-114</t>
  </si>
  <si>
    <t>PPH-10.P.RED.5.00001</t>
  </si>
  <si>
    <t>PPH-10.N.BLK.0.00002</t>
  </si>
  <si>
    <t>CMB.015.3.03</t>
  </si>
  <si>
    <t>53-114</t>
  </si>
  <si>
    <t>54-114</t>
  </si>
  <si>
    <t>CMB.015.3.04</t>
  </si>
  <si>
    <t>55-114</t>
  </si>
  <si>
    <t>56-114</t>
  </si>
  <si>
    <t>CMB.015.3.05</t>
  </si>
  <si>
    <t>57-114</t>
  </si>
  <si>
    <t>58-114</t>
  </si>
  <si>
    <t>CMB.015.4.06</t>
  </si>
  <si>
    <t>59-114</t>
  </si>
  <si>
    <t>60-114</t>
  </si>
  <si>
    <t>CMB.015.4.07</t>
  </si>
  <si>
    <t>61-114</t>
  </si>
  <si>
    <t>62-114</t>
  </si>
  <si>
    <t>PPH-10.P.RED.5.00002</t>
  </si>
  <si>
    <t>PPH,MRTSN,WCHTA,PPH,10--1,TP2,POS,RED</t>
  </si>
  <si>
    <t>PPH-10.N.BLK.0.00003</t>
  </si>
  <si>
    <t>PPH,MRTSN,WCHTA,PPH,10--1,TP2,NEG,BLK</t>
  </si>
  <si>
    <t>CMB.015.4.08</t>
  </si>
  <si>
    <t>63-114</t>
  </si>
  <si>
    <t>309</t>
  </si>
  <si>
    <r>
      <rPr>
        <b/>
        <sz val="10"/>
        <color theme="1"/>
        <rFont val="Neue Montreal"/>
        <charset val="134"/>
      </rPr>
      <t>CMB.015.4.08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CMB.015.4.09</t>
    </r>
  </si>
  <si>
    <t>64-114</t>
  </si>
  <si>
    <t>CMB.015.4.09</t>
  </si>
  <si>
    <t>65-114</t>
  </si>
  <si>
    <t>PPH,MRTSN,WCHTA,PPH,10--1,TP1,POS,RED</t>
  </si>
  <si>
    <t>PPH,MRTSN,WCHTA,PPH,10--1,TP1,NEG,BLK</t>
  </si>
  <si>
    <t>276.24</t>
  </si>
  <si>
    <t>CMB.015.4.10</t>
  </si>
  <si>
    <t>66-114</t>
  </si>
  <si>
    <t>CMB.015.2.11，CMB.015.1.12</t>
  </si>
  <si>
    <t>67-114</t>
  </si>
  <si>
    <t>CMB.015.1.14</t>
  </si>
  <si>
    <t>68-114</t>
  </si>
  <si>
    <t>69-114</t>
  </si>
  <si>
    <t>CMB.015.1.15</t>
  </si>
  <si>
    <t>70-114</t>
  </si>
  <si>
    <t>71-114</t>
  </si>
  <si>
    <t>323.69</t>
  </si>
  <si>
    <t>CMB.015.1.16</t>
  </si>
  <si>
    <t>72-114</t>
  </si>
  <si>
    <t>73-114</t>
  </si>
  <si>
    <t>452.74</t>
  </si>
  <si>
    <t>CMB.015.2.17</t>
  </si>
  <si>
    <t>74-114</t>
  </si>
  <si>
    <t>CMB.015.2.18</t>
  </si>
  <si>
    <t>75-114</t>
  </si>
  <si>
    <t>453</t>
  </si>
  <si>
    <t>CMB.015.2.19</t>
  </si>
  <si>
    <t>76-114</t>
  </si>
  <si>
    <r>
      <rPr>
        <b/>
        <sz val="10"/>
        <color theme="1"/>
        <rFont val="Neue Montreal"/>
        <charset val="134"/>
      </rPr>
      <t>CMB.015.2.19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CMB.015.2.20</t>
    </r>
  </si>
  <si>
    <t>77-114</t>
  </si>
  <si>
    <t>CMB.015.2.20</t>
  </si>
  <si>
    <t>78-114</t>
  </si>
  <si>
    <t>PPH-9.P.RED.5.00007</t>
  </si>
  <si>
    <t>PPH,MRTSN,WCHTA,PPH,9-1,TP5,POS,RED</t>
  </si>
  <si>
    <t>PPH-9.N.BLK.0.00007</t>
  </si>
  <si>
    <t>PPH,MRTSN,WCHTA,PPH,9-1,TP5,NEG,BLK</t>
  </si>
  <si>
    <t>PPH-9.P.RED.5.00008</t>
  </si>
  <si>
    <t>PPH,MRTSN,WCHTA,PPH,9-1,TP6,POS,RED</t>
  </si>
  <si>
    <t>PPH-9.N.BLK.0.00008</t>
  </si>
  <si>
    <t>PPH,MRTSN,WCHTA,PPH,9-1,TP6,NEG,BLK</t>
  </si>
  <si>
    <t>465.1</t>
  </si>
  <si>
    <t>CMB.023.4.04</t>
  </si>
  <si>
    <t>79-114</t>
  </si>
  <si>
    <t>CMB.015.3.02，CMB.015.1.13</t>
  </si>
  <si>
    <t>80-114</t>
  </si>
  <si>
    <t>CMB.015.1.13</t>
  </si>
  <si>
    <t>81-114</t>
  </si>
  <si>
    <t>CMB.015.2.21</t>
  </si>
  <si>
    <t>82-114</t>
  </si>
  <si>
    <t>PPH-9.P.RED.5.00011</t>
  </si>
  <si>
    <t>PPH,MRTSN,WCHTA,PPH,9-1,TP9,POS,RED</t>
  </si>
  <si>
    <t>PPH-9.N.BLK.0.00011</t>
  </si>
  <si>
    <t>PPH,MRTSN,WCHTA,PPH,9-1,TP9,NEG,BLK</t>
  </si>
  <si>
    <t>465.86</t>
  </si>
  <si>
    <t>CMB.023.4.01</t>
  </si>
  <si>
    <t>83-114</t>
  </si>
  <si>
    <r>
      <rPr>
        <b/>
        <sz val="10"/>
        <color theme="1"/>
        <rFont val="Neue Montreal"/>
        <charset val="134"/>
      </rPr>
      <t>CMB.023.4.01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CMB.023.4.02</t>
    </r>
  </si>
  <si>
    <t>84-114</t>
  </si>
  <si>
    <t>CMB.023.4.02</t>
  </si>
  <si>
    <t>85-114</t>
  </si>
  <si>
    <t>CMB.023.4.03</t>
  </si>
  <si>
    <t>86-114</t>
  </si>
  <si>
    <t>459.43</t>
  </si>
  <si>
    <r>
      <rPr>
        <b/>
        <sz val="10"/>
        <color theme="1"/>
        <rFont val="Neue Montreal"/>
        <charset val="134"/>
      </rPr>
      <t>CMB.015.2.21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CMB.023.4.03</t>
    </r>
  </si>
  <si>
    <t>87-114</t>
  </si>
  <si>
    <t>CMB.023.4.05</t>
  </si>
  <si>
    <t>88-114</t>
  </si>
  <si>
    <t>CMB.023.3.06</t>
  </si>
  <si>
    <t>89-114</t>
  </si>
  <si>
    <t>CMB.023.3.07</t>
  </si>
  <si>
    <t>90-114</t>
  </si>
  <si>
    <t>PPH-9.P.RED.5.00005</t>
  </si>
  <si>
    <t>PPH,MRTSN,WCHTA,PPH,9-1,TP3,POS,RED</t>
  </si>
  <si>
    <t>PPH-9.N.BLK.0.00005</t>
  </si>
  <si>
    <t>PPH,MRTSN,WCHTA,PPH,9-1,TP3,NEG,BLK</t>
  </si>
  <si>
    <t>PPH-5.P.RED.5.00001</t>
  </si>
  <si>
    <t>PPH,MRTSN,WCHTA,PPH,5-1,TP1,POS,RED</t>
  </si>
  <si>
    <t>PPH-5.N.BLK.0.00015</t>
  </si>
  <si>
    <t>PPH,MRTSN,WCHTA,PPH,5-1,TP1,NEG,BLK</t>
  </si>
  <si>
    <t>414.24</t>
  </si>
  <si>
    <t>CMB.023.3.08</t>
  </si>
  <si>
    <t>91-114</t>
  </si>
  <si>
    <t>CMB.023.3.09</t>
  </si>
  <si>
    <t>92-114</t>
  </si>
  <si>
    <t>CMB.023.3.10</t>
  </si>
  <si>
    <t>93-114</t>
  </si>
  <si>
    <t>CMB.023.1.12</t>
  </si>
  <si>
    <t>94-114</t>
  </si>
  <si>
    <t>CMB.023.3.11</t>
  </si>
  <si>
    <t>95-114</t>
  </si>
  <si>
    <r>
      <rPr>
        <b/>
        <sz val="10"/>
        <color theme="1"/>
        <rFont val="Neue Montreal"/>
        <charset val="134"/>
      </rPr>
      <t>CMB.023.3.11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CMB.023.1.13</t>
    </r>
  </si>
  <si>
    <t>96-114</t>
  </si>
  <si>
    <t>CMB.023.1.13</t>
  </si>
  <si>
    <t>97-114</t>
  </si>
  <si>
    <t>CMB.023.1.14</t>
  </si>
  <si>
    <t>98-114</t>
  </si>
  <si>
    <r>
      <rPr>
        <b/>
        <sz val="10"/>
        <color theme="1"/>
        <rFont val="Neue Montreal"/>
        <charset val="134"/>
      </rPr>
      <t>CMB.023.1.14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CMB.023.1.15</t>
    </r>
  </si>
  <si>
    <t>99-114</t>
  </si>
  <si>
    <t>CMB.023.1.15</t>
  </si>
  <si>
    <t>100-114</t>
  </si>
  <si>
    <t>PPH,MRTSN,WCHTA,PPH,10-1,TP4,POS,RED</t>
  </si>
  <si>
    <t>PPH,MRTSN,WCHTA,PPH,10-1,TP4,NEG,BLK</t>
  </si>
  <si>
    <t>369.74</t>
  </si>
  <si>
    <r>
      <rPr>
        <b/>
        <sz val="10"/>
        <color theme="1"/>
        <rFont val="Neue Montreal"/>
        <charset val="134"/>
      </rPr>
      <t>CMB.023.2.16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CMB.023.2.18</t>
    </r>
  </si>
  <si>
    <t>101-114</t>
  </si>
  <si>
    <t>CMB.023.2.17</t>
  </si>
  <si>
    <t>102-114</t>
  </si>
  <si>
    <t>343.25</t>
  </si>
  <si>
    <t>CMB.023.2.19</t>
  </si>
  <si>
    <t>103-114</t>
  </si>
  <si>
    <t>CMB.023.2.20</t>
  </si>
  <si>
    <t>104-114</t>
  </si>
  <si>
    <t>CMB.023.2.21</t>
  </si>
  <si>
    <t>105-114</t>
  </si>
  <si>
    <t>CMB.023.1.22</t>
  </si>
  <si>
    <t>106-114</t>
  </si>
  <si>
    <t>SH-2.8.RED.BLK.00013</t>
  </si>
  <si>
    <t>SH-2.8.RED.BLK.00014</t>
  </si>
  <si>
    <t>1500 x 750 x 1150 mm</t>
  </si>
  <si>
    <r>
      <rPr>
        <b/>
        <sz val="10"/>
        <color theme="1"/>
        <rFont val="Neue Montreal"/>
        <charset val="134"/>
      </rPr>
      <t>CMB.014.2.18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CMB.013.3.01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CMB.013.3.02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CMB.013.2.19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CMB.013.3.20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CMB.015.4.09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CMB.015.4.10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CMB.015.2.11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CMB.015.1.12</t>
    </r>
  </si>
  <si>
    <t>107-114</t>
  </si>
  <si>
    <r>
      <rPr>
        <b/>
        <sz val="10"/>
        <color theme="1"/>
        <rFont val="Neue Montreal"/>
        <charset val="134"/>
      </rPr>
      <t>CMB.013.3.03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CMB.013.3.04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CMB.013.4.05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CMB.013.4.06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CMB.013.4.07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CMB.013.4.08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CMB.013.4.09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CMB.013.2.10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CMB.013.2.11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CMB.013.1.12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CMB.013.1.13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CMB.013.1.14</t>
    </r>
  </si>
  <si>
    <t>108-114</t>
  </si>
  <si>
    <t>349.32</t>
  </si>
  <si>
    <t>CMB.013.1.15，CMB.013.1.16，CMB.013.2.17，CMB.013.2.18，CMB.014.3.01，CMB.014.3.02，CMB.014.3.03，CMB.014.3.04</t>
  </si>
  <si>
    <t>109-114</t>
  </si>
  <si>
    <t>339.48</t>
  </si>
  <si>
    <t>CMB.014.4.05，CMB.014.4.06，CMB.014.4.07，CMB.014.4.08，CMB.014.4.09，CMB.014.1.10，CMB.014.1.11，CMB.014.1.12，CMB.014.1.13，CMB.014.1.14</t>
  </si>
  <si>
    <t>110-114</t>
  </si>
  <si>
    <t>MRTSN,WCHTA,SH,E/W,PAIR 1,#8CU-#6AL</t>
  </si>
  <si>
    <t>MRTSN,WCHTA,SH,E/W,PAIR 2,#8CU-#6AL</t>
  </si>
  <si>
    <t>SH-2.8.RED.BLK.00015</t>
  </si>
  <si>
    <t>MRTSN,WCHTA,SH,E/W,PAIR 3,#8CU-#6AL</t>
  </si>
  <si>
    <t>SH-2.8.RED.BLK.00016</t>
  </si>
  <si>
    <t>MRTSN,WCHTA,SH,E/W,PAIR 4,#8CU-#6AL</t>
  </si>
  <si>
    <t>341.08</t>
  </si>
  <si>
    <t>CMB.014.2.15，CMB.014.2.16，CMB.014.2.17，CMB.014.2.18，CMB.014.2.19，CMB.015.3.01，CMB.015.3.02，CMB.015.3.03，CMB.015.3.04</t>
  </si>
  <si>
    <t>111-114</t>
  </si>
  <si>
    <t>359.28</t>
  </si>
  <si>
    <t>CMB.015.3.05，CMB.015.4.06，CMB.015.4.07，CMB.015.4.08，CMB.015.1.13，CMB.015.1.14，CMB.015.1.15，CMB.015.1.16</t>
  </si>
  <si>
    <t>112-114</t>
  </si>
  <si>
    <t>321.48</t>
  </si>
  <si>
    <t>CMB.015.2.17，CMB.015.2.18，CMB.015.2.19，CMB.015.2.20，CMB.015.2.21，CMB.023.4.01，CMB.023.4.02，CMB.023.4.03，CMB.023.4.04</t>
  </si>
  <si>
    <t>113-114</t>
  </si>
  <si>
    <t>300.24</t>
  </si>
  <si>
    <t>CMB.023.4.05，CMB.023.3.06，CMB.023.3.07，CMB.023.3.08，CMB.023.3.09，CMB.023.3.10，CMB.023.3.11，CMB.023.1.12，CMB.023.1.13，CMB.023.1.14</t>
  </si>
  <si>
    <t>114-114</t>
  </si>
  <si>
    <t>342.41</t>
  </si>
  <si>
    <t>CMB.023.1.15，CMB.023.2.16，CMB.023.2.17，CMB.023.2.18，CMB.023.2.19，CMB.023.2.20，CMB.023.2.21，CMB.023.1.22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</si>
</sst>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Neue Montreal"/>
      <charset val="134"/>
    </font>
    <font>
      <b/>
      <sz val="10"/>
      <color rgb="FF000000"/>
      <name val="Neue Montreal"/>
      <charset val="134"/>
    </font>
    <font>
      <sz val="10"/>
      <color rgb="FF000000"/>
      <name val="Neue Montreal"/>
      <charset val="134"/>
    </font>
    <font>
      <sz val="10"/>
      <color theme="1"/>
      <name val="Neue Montreal"/>
      <charset val="134"/>
    </font>
    <font>
      <b/>
      <sz val="10"/>
      <color theme="1"/>
      <name val="Neue Montre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0" Type="http://schemas.openxmlformats.org/officeDocument/2006/relationships/styles" Target="styles.xml"/><Relationship Id="rId12" Type="http://schemas.openxmlformats.org/officeDocument/2006/relationships/worksheet" Target="worksheets/sheet12.xml"/><Relationship Id="rId119" Type="http://www.wps.cn/officeDocument/2020/cellImage" Target="cellimages.xml"/><Relationship Id="rId118" Type="http://schemas.openxmlformats.org/officeDocument/2006/relationships/sharedStrings" Target="sharedStrings.xml"/><Relationship Id="rId117" Type="http://schemas.openxmlformats.org/officeDocument/2006/relationships/theme" Target="theme/theme1.xml"/><Relationship Id="rId116" Type="http://schemas.openxmlformats.org/officeDocument/2006/relationships/externalLink" Target="externalLinks/externalLink2.xml"/><Relationship Id="rId115" Type="http://schemas.openxmlformats.org/officeDocument/2006/relationships/externalLink" Target="externalLinks/externalLink1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8;&#26381;&#37096;/&#35746;&#21333;&#25991;&#20214;/&#32654;&#21152;&#27431;&#21306;/&#21016;&#20025;/N20%20Nextpower/N20-260728,%20Wichita%20Project%20Golden%20Row/N20-260728-3rd%20S2601991986/&#21253;&#35013;&#21787;&#22836;/PN-DES%20for%20Wichi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8;&#26381;&#37096;/&#35746;&#21333;&#25991;&#20214;/&#32654;&#21152;&#27431;&#21306;/&#21016;&#20025;/N20%20Nextpower/&#25253;&#20215;/NAEU260514-005%20Project%203494389%20(3889589)-Wichita/&#20869;&#37096;&#25991;&#20214;/PN-DES%20for%20Wichi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F1" t="str">
            <v>PN</v>
          </cell>
          <cell r="G1" t="str">
            <v>Description</v>
          </cell>
        </row>
        <row r="2">
          <cell r="F2" t="str">
            <v>SH-2.8.RED.BLK.00002</v>
          </cell>
          <cell r="G2" t="str">
            <v>MRTSN,WCHTA,SH,N/S,PAIR 1,#8CU-#6AL</v>
          </cell>
        </row>
        <row r="4">
          <cell r="F4" t="str">
            <v>SH-2.8.RED.BLK.00003</v>
          </cell>
          <cell r="G4" t="str">
            <v>MRTSN,WCHTA,SH,N/S,PAIR 2,#8CU-#6AL</v>
          </cell>
        </row>
        <row r="6">
          <cell r="F6" t="str">
            <v>SH-2.8.RED.BLK.00004</v>
          </cell>
          <cell r="G6" t="str">
            <v>MRTSN,WCHTA,SH,N/S,PAIR 3,#8CU-#6AL</v>
          </cell>
        </row>
        <row r="8">
          <cell r="F8" t="str">
            <v>SH-2.8.RED.BLK.00005</v>
          </cell>
          <cell r="G8" t="str">
            <v>MRTSN,WCHTA,SH,N/S,PAIR 4,#8CU-#6AL</v>
          </cell>
        </row>
        <row r="10">
          <cell r="F10" t="str">
            <v>SH-2.8.RED.BLK.00006</v>
          </cell>
          <cell r="G10" t="str">
            <v>MRTSN,WCHTA,SH,N/S,PAIR 5,#8CU-#6AL</v>
          </cell>
        </row>
        <row r="12">
          <cell r="F12" t="str">
            <v>SH-2.8.RED.BLK.00007</v>
          </cell>
          <cell r="G12" t="str">
            <v>MRTSN,WCHTA,SH,N/S,PAIR 6,#8CU-#6AL,XTRACKER</v>
          </cell>
        </row>
        <row r="14">
          <cell r="F14" t="str">
            <v>SH-2.8.RED.BLK.00008</v>
          </cell>
          <cell r="G14" t="str">
            <v>MRTSN,WCHTA,SH,N/S,PAIR 7,#8CU-#6AL,XTRACKER</v>
          </cell>
        </row>
        <row r="16">
          <cell r="F16" t="str">
            <v>SH-2.8.RED.BLK.00009</v>
          </cell>
          <cell r="G16" t="str">
            <v>MRTSN,WCHTA,SH,N/S,PAIR 8,#8CU-#6AL,XTRACKER</v>
          </cell>
        </row>
        <row r="18">
          <cell r="F18" t="str">
            <v>SH-2.8.RED.BLK.00010</v>
          </cell>
          <cell r="G18" t="str">
            <v>MRTSN,WCHTA,SH,N/S,PAIR 9,#8CU-#6AL,XTRACKER</v>
          </cell>
        </row>
        <row r="20">
          <cell r="F20" t="str">
            <v>SH-2.8.RED.BLK.00011</v>
          </cell>
          <cell r="G20" t="str">
            <v>MRTSN,WCHTA,SH,N/S,PAIR 10,#8CU-#6AL,XTRACKER</v>
          </cell>
        </row>
        <row r="22">
          <cell r="F22" t="str">
            <v>SH-2.8.RED.BLK.00012</v>
          </cell>
          <cell r="G22" t="str">
            <v>MRTSN,WCHTA,SH,N/S,PAIR 11,#8CU-#6AL,XTRACKER</v>
          </cell>
        </row>
        <row r="25">
          <cell r="F25" t="str">
            <v>SH-2.8.RED.BLK.00013</v>
          </cell>
          <cell r="G25" t="str">
            <v>MRTSN,WCHTA,SH,E/W,PAIR 1,#8CU</v>
          </cell>
        </row>
        <row r="27">
          <cell r="F27" t="str">
            <v>SH-2.8.RED.BLK.00014</v>
          </cell>
          <cell r="G27" t="str">
            <v>MRTSN,WCHTA,SH,E/W,PAIR 2,#8CU-#6AL</v>
          </cell>
        </row>
        <row r="29">
          <cell r="F29" t="str">
            <v>SH-2.8.RED.BLK.00015</v>
          </cell>
          <cell r="G29" t="str">
            <v>MRTSN,WCHTA,SH,E/W,PAIR 3,#8CU-#6AL</v>
          </cell>
        </row>
        <row r="31">
          <cell r="F31" t="str">
            <v>SH-2.8.RED.BLK.00016</v>
          </cell>
          <cell r="G31" t="str">
            <v>MRTSN,WCHTA,SH,E/W,PAIR 4,#8CU-#6AL</v>
          </cell>
        </row>
        <row r="33">
          <cell r="F33" t="str">
            <v>SH-2.8.RED.BLK.00017</v>
          </cell>
          <cell r="G33" t="str">
            <v>MRTSN,WCHTA,SH,E/W,PAIR 5,#8CU-#6AL</v>
          </cell>
        </row>
        <row r="35">
          <cell r="F35" t="str">
            <v>SH-2.8.RED.BLK.00018</v>
          </cell>
          <cell r="G35" t="str">
            <v>MRTSN,WCHTA,SH,E/W,PAIR 6,#8CU-#6AL</v>
          </cell>
        </row>
        <row r="37">
          <cell r="F37" t="str">
            <v>SH-2.8.RED.BLK.00019</v>
          </cell>
          <cell r="G37" t="str">
            <v>MRTSN,WCHTA,SH,E/W,PAIR 7,#8CU-#6AL</v>
          </cell>
        </row>
        <row r="40">
          <cell r="F40" t="str">
            <v>PPH-10.P.RED.5.00001</v>
          </cell>
          <cell r="G40" t="str">
            <v>PPH,MRTSN,WCHTA,PPH,10-1,TP1,POS,RED</v>
          </cell>
        </row>
        <row r="41">
          <cell r="F41" t="str">
            <v>PPH-10.N.BLK.0.00002</v>
          </cell>
          <cell r="G41" t="str">
            <v>PPH,MRTSN,WCHTA,PPH,10-1,TP1,NEG,BLK</v>
          </cell>
        </row>
        <row r="42">
          <cell r="F42" t="str">
            <v>PPH-10.P.RED.5.00002</v>
          </cell>
          <cell r="G42" t="str">
            <v>PPH,MRTSN,WCHTA,PPH,10-1,TP2,POS,RED</v>
          </cell>
        </row>
        <row r="43">
          <cell r="F43" t="str">
            <v>PPH-10.N.BLK.0.00003</v>
          </cell>
          <cell r="G43" t="str">
            <v>PPH,MRTSN,WCHTA,PPH,10-1,TP2,NEG,BLK</v>
          </cell>
        </row>
        <row r="44">
          <cell r="F44" t="str">
            <v>PPH-10.P.RED.5.00003</v>
          </cell>
          <cell r="G44" t="str">
            <v>PPH,MRTSN,WCHTA,PPH,10-1,TP3,POS,RED</v>
          </cell>
        </row>
        <row r="45">
          <cell r="F45" t="str">
            <v>PPH-10.N.BLK.0.00004</v>
          </cell>
          <cell r="G45" t="str">
            <v>PPH,MRTSN,WCHTA,PPH,10-1,TP3,NEG,BLK</v>
          </cell>
        </row>
        <row r="46">
          <cell r="F46" t="str">
            <v>PPH-10.P.RED.5.00004</v>
          </cell>
          <cell r="G46" t="str">
            <v>PPH,MRTSN,WCHTA,PPH,10-1,TP4,POS,RED</v>
          </cell>
        </row>
        <row r="47">
          <cell r="F47" t="str">
            <v>PPH-10.N.BLK.0.00005</v>
          </cell>
          <cell r="G47" t="str">
            <v>PPH,MRTSN,WCHTA,PPH,10-1,TP4,NEG,BLK</v>
          </cell>
        </row>
        <row r="48">
          <cell r="F48" t="str">
            <v>PPH-10.P.RED.5.00005</v>
          </cell>
          <cell r="G48" t="str">
            <v>PPH,MRTSN,WCHTA,PPH,10-1,TP5,POS,RED</v>
          </cell>
        </row>
        <row r="49">
          <cell r="F49" t="str">
            <v>PPH-10.N.BLK.0.00006</v>
          </cell>
          <cell r="G49" t="str">
            <v>PPH,MRTSN,WCHTA,PPH,10-1,TP5,NEG,BLK</v>
          </cell>
        </row>
        <row r="50">
          <cell r="F50" t="str">
            <v>PPH-10.P.RED.5.00006</v>
          </cell>
          <cell r="G50" t="str">
            <v>PPH,MRTSN,WCHTA,PPH,10-1,TP6,POS,RED</v>
          </cell>
        </row>
        <row r="51">
          <cell r="F51" t="str">
            <v>PPH-10.N.BLK.0.00007</v>
          </cell>
          <cell r="G51" t="str">
            <v>PPH,MRTSN,WCHTA,PPH,10-1,TP6,NEG,BLK</v>
          </cell>
        </row>
        <row r="52">
          <cell r="F52" t="str">
            <v>PPH-9.P.RED.5.00003</v>
          </cell>
          <cell r="G52" t="str">
            <v>PPH,MRTSN,WCHTA,PPH,9-1,TP1,POS,RED</v>
          </cell>
        </row>
        <row r="53">
          <cell r="F53" t="str">
            <v>PPH-9.N.BLK.0.00003</v>
          </cell>
          <cell r="G53" t="str">
            <v>PPH,MRTSN,WCHTA,PPH,9-1,TP1,NEG,BLK</v>
          </cell>
        </row>
        <row r="54">
          <cell r="F54" t="str">
            <v>PPH-9.P.RED.5.00004</v>
          </cell>
          <cell r="G54" t="str">
            <v>PPH,MRTSN,WCHTA,PPH,9-1,TP2,POS,RED</v>
          </cell>
        </row>
        <row r="55">
          <cell r="F55" t="str">
            <v>PPH-9.N.BLK.0.00004</v>
          </cell>
          <cell r="G55" t="str">
            <v>PPH,MRTSN,WCHTA,PPH,9-1,TP2,NEG,BLK</v>
          </cell>
        </row>
        <row r="56">
          <cell r="F56" t="str">
            <v>PPH-9.P.RED.5.00005</v>
          </cell>
          <cell r="G56" t="str">
            <v>PPH,MRTSN,WCHTA,PPH,9-1,TP3,POS,RED</v>
          </cell>
        </row>
        <row r="57">
          <cell r="F57" t="str">
            <v>PPH-9.N.BLK.0.00005</v>
          </cell>
          <cell r="G57" t="str">
            <v>PPH,MRTSN,WCHTA,PPH,9-1,TP3,NEG,BLK</v>
          </cell>
        </row>
        <row r="58">
          <cell r="F58" t="str">
            <v>PPH-9.P.RED.5.00006</v>
          </cell>
          <cell r="G58" t="str">
            <v>PPH,MRTSN,WCHTA,PPH,9-1,TP4,POS,RED</v>
          </cell>
        </row>
        <row r="59">
          <cell r="F59" t="str">
            <v>PPH-9.N.BLK.0.00006</v>
          </cell>
          <cell r="G59" t="str">
            <v>PPH,MRTSN,WCHTA,PPH,9-1,TP4,NEG,BLK</v>
          </cell>
        </row>
        <row r="60">
          <cell r="F60" t="str">
            <v>PPH-9.P.RED.5.00007</v>
          </cell>
          <cell r="G60" t="str">
            <v>PPH,MRTSN,WCHTA,PPH,9-1,TP5,POS,RED</v>
          </cell>
        </row>
        <row r="61">
          <cell r="F61" t="str">
            <v>PPH-9.N.BLK.0.00007</v>
          </cell>
          <cell r="G61" t="str">
            <v>PPH,MRTSN,WCHTA,PPH,9-1,TP5,NEG,BLK</v>
          </cell>
        </row>
        <row r="62">
          <cell r="F62" t="str">
            <v>PPH-9.P.RED.5.00008</v>
          </cell>
          <cell r="G62" t="str">
            <v>PPH,MRTSN,WCHTA,PPH,9-1,TP6,POS,RED</v>
          </cell>
        </row>
        <row r="63">
          <cell r="F63" t="str">
            <v>PPH-9.N.BLK.0.00008</v>
          </cell>
          <cell r="G63" t="str">
            <v>PPH,MRTSN,WCHTA,PPH,9-1,TP6,NEG,BLK</v>
          </cell>
        </row>
        <row r="64">
          <cell r="F64" t="str">
            <v>PPH-9.P.RED.5.00009</v>
          </cell>
          <cell r="G64" t="str">
            <v>PPH,MRTSN,WCHTA,PPH,9-1,TP7,POS,RED</v>
          </cell>
        </row>
        <row r="65">
          <cell r="F65" t="str">
            <v>PPH-9.N.BLK.0.00009</v>
          </cell>
          <cell r="G65" t="str">
            <v>PPH,MRTSN,WCHTA,PPH,9-1,TP7,NEG,BLK</v>
          </cell>
        </row>
        <row r="66">
          <cell r="F66" t="str">
            <v>PPH-9.P.RED.5.00010</v>
          </cell>
          <cell r="G66" t="str">
            <v>PPH,MRTSN,WCHTA,PPH,9-1,TP8,POS,RED</v>
          </cell>
        </row>
        <row r="67">
          <cell r="F67" t="str">
            <v>PPH-9.N.BLK.0.00010</v>
          </cell>
          <cell r="G67" t="str">
            <v>PPH,MRTSN,WCHTA,PPH,9-1,TP8,NEG,BLK</v>
          </cell>
        </row>
        <row r="68">
          <cell r="F68" t="str">
            <v>PPH-9.P.RED.5.00011</v>
          </cell>
          <cell r="G68" t="str">
            <v>PPH,MRTSN,WCHTA,PPH,9-1,TP9,POS,RED</v>
          </cell>
        </row>
        <row r="69">
          <cell r="F69" t="str">
            <v>PPH-9.N.BLK.0.00011</v>
          </cell>
          <cell r="G69" t="str">
            <v>PPH,MRTSN,WCHTA,PPH,9-1,TP9,NEG,BLK</v>
          </cell>
        </row>
        <row r="70">
          <cell r="F70" t="str">
            <v>PPH-9.P.RED.5.00012</v>
          </cell>
          <cell r="G70" t="str">
            <v>PPH,MRTSN,WCHTA,PPH,9-1,TP10,POS,RED</v>
          </cell>
        </row>
        <row r="71">
          <cell r="F71" t="str">
            <v>PPH-9.N.BLK.0.00012</v>
          </cell>
          <cell r="G71" t="str">
            <v>PPH,MRTSN,WCHTA,PPH,9-1,TP10,NEG,BLK</v>
          </cell>
        </row>
        <row r="72">
          <cell r="F72" t="str">
            <v>PPH-5.P.RED.5.00001</v>
          </cell>
          <cell r="G72" t="str">
            <v>PPH,MRTSN,WCHTA,PPH,5-1,TP1,POS,RED</v>
          </cell>
        </row>
        <row r="73">
          <cell r="F73" t="str">
            <v>PPH-5.N.BLK.0.00015</v>
          </cell>
          <cell r="G73" t="str">
            <v>PPH,MRTSN,WCHTA,PPH,5-1,TP1,NEG,BLK</v>
          </cell>
        </row>
        <row r="74">
          <cell r="F74" t="str">
            <v>PPH-5.P.RED.5.00002</v>
          </cell>
          <cell r="G74" t="str">
            <v>PPH,MRTSN,WCHTA,PPH,5-1,TP2,POS,RED</v>
          </cell>
        </row>
        <row r="75">
          <cell r="F75" t="str">
            <v>PPH-5.N.BLK.0.00016</v>
          </cell>
          <cell r="G75" t="str">
            <v>PPH,MRTSN,WCHTA,PPH,5-1,TP2,NEG,BLK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H1" t="str">
            <v>Revised PO
26.09.18</v>
          </cell>
          <cell r="I1" t="str">
            <v>PN</v>
          </cell>
        </row>
        <row r="2">
          <cell r="H2">
            <v>0</v>
          </cell>
          <cell r="I2" t="str">
            <v>SH-2.8.RED.BLK.00002</v>
          </cell>
        </row>
        <row r="3">
          <cell r="H3">
            <v>0</v>
          </cell>
        </row>
        <row r="4">
          <cell r="H4">
            <v>9279</v>
          </cell>
          <cell r="I4" t="str">
            <v>SH-2.8.RED.BLK.00003</v>
          </cell>
        </row>
        <row r="5">
          <cell r="H5">
            <v>9279</v>
          </cell>
        </row>
        <row r="6">
          <cell r="H6">
            <v>160</v>
          </cell>
          <cell r="I6" t="str">
            <v>SH-2.8.RED.BLK.00004</v>
          </cell>
        </row>
        <row r="7">
          <cell r="H7">
            <v>160</v>
          </cell>
        </row>
        <row r="8">
          <cell r="H8">
            <v>605</v>
          </cell>
          <cell r="I8" t="str">
            <v>SH-2.8.RED.BLK.00005</v>
          </cell>
        </row>
        <row r="9">
          <cell r="H9">
            <v>605</v>
          </cell>
        </row>
        <row r="10">
          <cell r="H10">
            <v>5854</v>
          </cell>
          <cell r="I10" t="str">
            <v>SH-2.8.RED.BLK.00006</v>
          </cell>
        </row>
        <row r="11">
          <cell r="H11">
            <v>5854</v>
          </cell>
        </row>
        <row r="12">
          <cell r="H12">
            <v>81</v>
          </cell>
          <cell r="I12" t="str">
            <v>SH-2.8.RED.BLK.00007</v>
          </cell>
        </row>
        <row r="13">
          <cell r="H13">
            <v>81</v>
          </cell>
        </row>
        <row r="14">
          <cell r="H14">
            <v>42</v>
          </cell>
          <cell r="I14" t="str">
            <v>SH-2.8.RED.BLK.00008</v>
          </cell>
        </row>
        <row r="15">
          <cell r="H15">
            <v>42</v>
          </cell>
        </row>
        <row r="16">
          <cell r="H16">
            <v>301</v>
          </cell>
          <cell r="I16" t="str">
            <v>SH-2.8.RED.BLK.00009</v>
          </cell>
        </row>
        <row r="17">
          <cell r="H17">
            <v>301</v>
          </cell>
        </row>
        <row r="18">
          <cell r="H18">
            <v>67</v>
          </cell>
          <cell r="I18" t="str">
            <v>SH-2.8.RED.BLK.00010</v>
          </cell>
        </row>
        <row r="19">
          <cell r="H19">
            <v>67</v>
          </cell>
        </row>
        <row r="20">
          <cell r="H20">
            <v>4427</v>
          </cell>
          <cell r="I20" t="str">
            <v>SH-2.8.RED.BLK.00011</v>
          </cell>
        </row>
        <row r="21">
          <cell r="H21">
            <v>4427</v>
          </cell>
        </row>
        <row r="22">
          <cell r="H22">
            <v>869</v>
          </cell>
          <cell r="I22" t="str">
            <v>SH-2.8.RED.BLK.00012</v>
          </cell>
        </row>
        <row r="23">
          <cell r="H23">
            <v>869</v>
          </cell>
        </row>
        <row r="25">
          <cell r="H25">
            <v>10925</v>
          </cell>
          <cell r="I25" t="str">
            <v>SH-2.8.RED.BLK.00013</v>
          </cell>
        </row>
        <row r="26">
          <cell r="H26">
            <v>10925</v>
          </cell>
        </row>
        <row r="27">
          <cell r="H27">
            <v>18678</v>
          </cell>
          <cell r="I27" t="str">
            <v>SH-2.8.RED.BLK.00014</v>
          </cell>
        </row>
        <row r="28">
          <cell r="H28">
            <v>18678</v>
          </cell>
        </row>
        <row r="29">
          <cell r="H29">
            <v>2369</v>
          </cell>
          <cell r="I29" t="str">
            <v>SH-2.8.RED.BLK.00015</v>
          </cell>
        </row>
        <row r="30">
          <cell r="H30">
            <v>2369</v>
          </cell>
        </row>
        <row r="31">
          <cell r="H31">
            <v>794</v>
          </cell>
          <cell r="I31" t="str">
            <v>SH-2.8.RED.BLK.00016</v>
          </cell>
        </row>
        <row r="32">
          <cell r="H32">
            <v>794</v>
          </cell>
        </row>
        <row r="33">
          <cell r="H33">
            <v>138</v>
          </cell>
          <cell r="I33" t="str">
            <v>SH-2.8.RED.BLK.00017</v>
          </cell>
        </row>
        <row r="34">
          <cell r="H34">
            <v>138</v>
          </cell>
        </row>
        <row r="35">
          <cell r="H35">
            <v>28</v>
          </cell>
          <cell r="I35" t="str">
            <v>SH-2.8.RED.BLK.00018</v>
          </cell>
        </row>
        <row r="36">
          <cell r="H36">
            <v>28</v>
          </cell>
        </row>
        <row r="37">
          <cell r="H37">
            <v>4</v>
          </cell>
          <cell r="I37" t="str">
            <v>SH-2.8.RED.BLK.00019</v>
          </cell>
        </row>
        <row r="38">
          <cell r="H38">
            <v>4</v>
          </cell>
        </row>
        <row r="40">
          <cell r="H40">
            <v>105</v>
          </cell>
          <cell r="I40" t="str">
            <v>PPH-10.P.RED.5.00001</v>
          </cell>
        </row>
        <row r="41">
          <cell r="H41">
            <v>105</v>
          </cell>
          <cell r="I41" t="str">
            <v>PPH-10.N.BLK.0.00002</v>
          </cell>
        </row>
        <row r="42">
          <cell r="H42">
            <v>307</v>
          </cell>
          <cell r="I42" t="str">
            <v>PPH-10.P.RED.5.00002</v>
          </cell>
        </row>
        <row r="43">
          <cell r="H43">
            <v>307</v>
          </cell>
          <cell r="I43" t="str">
            <v>PPH-10.N.BLK.0.00003</v>
          </cell>
        </row>
        <row r="44">
          <cell r="H44">
            <v>612</v>
          </cell>
          <cell r="I44" t="str">
            <v>PPH-10.P.RED.5.00003</v>
          </cell>
        </row>
        <row r="45">
          <cell r="H45">
            <v>612</v>
          </cell>
          <cell r="I45" t="str">
            <v>PPH-10.N.BLK.0.00004</v>
          </cell>
        </row>
        <row r="46">
          <cell r="H46">
            <v>424</v>
          </cell>
          <cell r="I46" t="str">
            <v>PPH-10.P.RED.5.00004</v>
          </cell>
        </row>
        <row r="47">
          <cell r="H47">
            <v>424</v>
          </cell>
          <cell r="I47" t="str">
            <v>PPH-10.N.BLK.0.00005</v>
          </cell>
        </row>
        <row r="48">
          <cell r="H48">
            <v>14</v>
          </cell>
          <cell r="I48" t="str">
            <v>PPH-10.P.RED.5.00005</v>
          </cell>
        </row>
        <row r="49">
          <cell r="H49">
            <v>14</v>
          </cell>
          <cell r="I49" t="str">
            <v>PPH-10.N.BLK.0.00006</v>
          </cell>
        </row>
        <row r="50">
          <cell r="H50" t="str">
            <v>PPH-10.P.RED.5.00006</v>
          </cell>
          <cell r="I50" t="str">
            <v>PPH-10.P.RED.5.00006</v>
          </cell>
        </row>
        <row r="51">
          <cell r="H51" t="str">
            <v>PPH-10.N.BLK.0.00007</v>
          </cell>
          <cell r="I51" t="str">
            <v>PPH-10.N.BLK.0.00007</v>
          </cell>
        </row>
        <row r="52">
          <cell r="H52">
            <v>8496</v>
          </cell>
          <cell r="I52" t="str">
            <v>PPH-9.P.RED.5.00003</v>
          </cell>
        </row>
        <row r="53">
          <cell r="H53">
            <v>8496</v>
          </cell>
          <cell r="I53" t="str">
            <v>PPH-9.N.BLK.0.00003</v>
          </cell>
        </row>
        <row r="54">
          <cell r="H54">
            <v>2760</v>
          </cell>
          <cell r="I54" t="str">
            <v>PPH-9.P.RED.5.00004</v>
          </cell>
        </row>
        <row r="55">
          <cell r="H55">
            <v>2760</v>
          </cell>
          <cell r="I55" t="str">
            <v>PPH-9.N.BLK.0.00004</v>
          </cell>
        </row>
        <row r="56">
          <cell r="H56">
            <v>573</v>
          </cell>
          <cell r="I56" t="str">
            <v>PPH-9.P.RED.5.00005</v>
          </cell>
        </row>
        <row r="57">
          <cell r="H57">
            <v>573</v>
          </cell>
          <cell r="I57" t="str">
            <v>PPH-9.N.BLK.0.00005</v>
          </cell>
        </row>
        <row r="58">
          <cell r="H58">
            <v>211</v>
          </cell>
          <cell r="I58" t="str">
            <v>PPH-9.P.RED.5.00006</v>
          </cell>
        </row>
        <row r="59">
          <cell r="H59">
            <v>211</v>
          </cell>
          <cell r="I59" t="str">
            <v>PPH-9.N.BLK.0.00006</v>
          </cell>
        </row>
        <row r="60">
          <cell r="H60">
            <v>3737</v>
          </cell>
          <cell r="I60" t="str">
            <v>PPH-9.P.RED.5.00007</v>
          </cell>
        </row>
        <row r="61">
          <cell r="H61">
            <v>3737</v>
          </cell>
          <cell r="I61" t="str">
            <v>PPH-9.N.BLK.0.00007</v>
          </cell>
        </row>
        <row r="62">
          <cell r="H62">
            <v>6236</v>
          </cell>
          <cell r="I62" t="str">
            <v>PPH-9.P.RED.5.00008</v>
          </cell>
        </row>
        <row r="63">
          <cell r="H63">
            <v>6236</v>
          </cell>
          <cell r="I63" t="str">
            <v>PPH-9.N.BLK.0.00008</v>
          </cell>
        </row>
        <row r="64">
          <cell r="H64">
            <v>794</v>
          </cell>
          <cell r="I64" t="str">
            <v>PPH-9.P.RED.5.00009</v>
          </cell>
        </row>
        <row r="65">
          <cell r="H65">
            <v>794</v>
          </cell>
          <cell r="I65" t="str">
            <v>PPH-9.N.BLK.0.00009</v>
          </cell>
        </row>
        <row r="66">
          <cell r="H66">
            <v>271</v>
          </cell>
          <cell r="I66" t="str">
            <v>PPH-9.P.RED.5.00010</v>
          </cell>
        </row>
        <row r="67">
          <cell r="H67">
            <v>271</v>
          </cell>
          <cell r="I67" t="str">
            <v>PPH-9.N.BLK.0.00010</v>
          </cell>
        </row>
        <row r="68">
          <cell r="H68">
            <v>1911</v>
          </cell>
          <cell r="I68" t="str">
            <v>PPH-9.P.RED.5.00011</v>
          </cell>
        </row>
        <row r="69">
          <cell r="H69">
            <v>1911</v>
          </cell>
          <cell r="I69" t="str">
            <v>PPH-9.N.BLK.0.00011</v>
          </cell>
        </row>
        <row r="70">
          <cell r="H70">
            <v>1486</v>
          </cell>
          <cell r="I70" t="str">
            <v>PPH-9.P.RED.5.00012</v>
          </cell>
        </row>
        <row r="71">
          <cell r="H71">
            <v>1486</v>
          </cell>
          <cell r="I71" t="str">
            <v>PPH-9.N.BLK.0.00012</v>
          </cell>
        </row>
        <row r="72">
          <cell r="H72">
            <v>999</v>
          </cell>
          <cell r="I72" t="str">
            <v>PPH-5.P.RED.5.00001</v>
          </cell>
        </row>
        <row r="73">
          <cell r="H73">
            <v>999</v>
          </cell>
          <cell r="I73" t="str">
            <v>PPH-5.N.BLK.0.00015</v>
          </cell>
        </row>
        <row r="74">
          <cell r="H74">
            <v>983</v>
          </cell>
          <cell r="I74" t="str">
            <v>PPH-5.P.RED.5.00002</v>
          </cell>
        </row>
        <row r="75">
          <cell r="H75">
            <v>983</v>
          </cell>
          <cell r="I75" t="str">
            <v>PPH-5.N.BLK.0.00016</v>
          </cell>
        </row>
        <row r="76">
          <cell r="H76">
            <v>169080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B4" sqref="B4:C4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>
        <v>465.34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35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39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ignoredErrors>
    <ignoredError sqref="B1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41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>
        <v>466.38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49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52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ignoredErrors>
    <ignoredError sqref="B17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3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54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6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58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4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60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workbookViewId="0">
      <selection activeCell="B9" sqref="B9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62</v>
      </c>
      <c r="B10" s="15" t="str">
        <f>VLOOKUP(A10,[2]Sheet1!$H:$I,2,0)</f>
        <v>PPH,MRTSN,WCHTA,PPH,10-1,TP4,POS,RED</v>
      </c>
      <c r="C10" s="16">
        <v>7</v>
      </c>
    </row>
    <row r="11" ht="25" customHeight="1" spans="1:3">
      <c r="A11" s="15" t="s">
        <v>63</v>
      </c>
      <c r="B11" s="15" t="str">
        <f>VLOOKUP(A11,[2]Sheet1!$H:$I,2,0)</f>
        <v>PPH,MRTSN,WCHTA,PPH,10-1,TP4,NEG,BLK</v>
      </c>
      <c r="C11" s="16">
        <v>7</v>
      </c>
    </row>
    <row r="12" ht="25" customHeight="1" spans="1:3">
      <c r="A12" s="15" t="s">
        <v>13</v>
      </c>
      <c r="B12" s="15" t="str">
        <f>VLOOKUP(A12,[2]Sheet1!$H:$I,2,0)</f>
        <v>PPH,MRTSN,WCHTA,PPH,9-1,TP1,POS,RED</v>
      </c>
      <c r="C12" s="16">
        <v>3</v>
      </c>
    </row>
    <row r="13" ht="25" customHeight="1" spans="1:3">
      <c r="A13" s="15" t="s">
        <v>15</v>
      </c>
      <c r="B13" s="15" t="str">
        <f>VLOOKUP(A13,[2]Sheet1!$H:$I,2,0)</f>
        <v>PPH,MRTSN,WCHTA,PPH,9-1,TP1,NEG,BLK</v>
      </c>
      <c r="C13" s="16">
        <v>3</v>
      </c>
    </row>
    <row r="14" ht="25" customHeight="1" spans="1:3">
      <c r="A14" s="15" t="s">
        <v>17</v>
      </c>
      <c r="B14" s="15" t="str">
        <f>VLOOKUP(A14,[2]Sheet1!$H:$I,2,0)</f>
        <v>PPH,MRTSN,WCHTA,PPH,9-1,TP2,POS,RED</v>
      </c>
      <c r="C14" s="16">
        <v>1</v>
      </c>
    </row>
    <row r="15" ht="25" customHeight="1" spans="1:3">
      <c r="A15" s="15" t="s">
        <v>19</v>
      </c>
      <c r="B15" s="15" t="str">
        <f>VLOOKUP(A15,[2]Sheet1!$H:$I,2,0)</f>
        <v>PPH,MRTSN,WCHTA,PPH,9-1,TP2,NEG,BLK</v>
      </c>
      <c r="C15" s="16">
        <v>1</v>
      </c>
    </row>
    <row r="16" ht="25" customHeight="1" spans="1:3">
      <c r="A16" s="15" t="s">
        <v>21</v>
      </c>
      <c r="B16" s="15" t="str">
        <f>VLOOKUP(A16,[2]Sheet1!$H:$I,2,0)</f>
        <v>MRTSN,WCHTA,SH,N/S,PAIR 2,#8CU-#6AL</v>
      </c>
      <c r="C16" s="16">
        <v>1</v>
      </c>
    </row>
    <row r="17" ht="25" customHeight="1" spans="1:3">
      <c r="A17" s="15" t="s">
        <v>23</v>
      </c>
      <c r="B17" s="15" t="str">
        <f>VLOOKUP(A17,[2]Sheet1!$H:$I,2,0)</f>
        <v>MRTSN,WCHTA,SH,N/S,PAIR 5,#8CU-#6AL</v>
      </c>
      <c r="C17" s="16">
        <v>1</v>
      </c>
    </row>
    <row r="18" ht="25" customHeight="1" spans="1:3">
      <c r="A18" s="15" t="s">
        <v>25</v>
      </c>
      <c r="B18" s="15" t="str">
        <f>VLOOKUP(A18,[2]Sheet1!$H:$I,2,0)</f>
        <v>MRTSN,WCHTA,SH,N/S,PAIR 10,#8CU-#6AL,XTRACKER</v>
      </c>
      <c r="C18" s="16">
        <v>1</v>
      </c>
    </row>
    <row r="19" ht="25" customHeight="1" spans="1:3">
      <c r="A19" s="11" t="s">
        <v>27</v>
      </c>
      <c r="B19" s="17">
        <v>397.7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64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6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5" t="s">
        <v>23</v>
      </c>
      <c r="B15" s="15" t="s">
        <v>24</v>
      </c>
      <c r="C15" s="16">
        <v>2</v>
      </c>
    </row>
    <row r="16" ht="25" customHeight="1" spans="1:3">
      <c r="A16" s="15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5" t="s">
        <v>23</v>
      </c>
      <c r="B15" s="15" t="s">
        <v>24</v>
      </c>
      <c r="C15" s="16">
        <v>2</v>
      </c>
    </row>
    <row r="16" ht="25" customHeight="1" spans="1:3">
      <c r="A16" s="15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 t="s">
        <v>51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68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ignoredErrors>
    <ignoredError sqref="B17" numberStoredAsText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Normal="100" topLeftCell="A5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70</v>
      </c>
      <c r="B14" s="15" t="s">
        <v>71</v>
      </c>
      <c r="C14" s="16">
        <v>2</v>
      </c>
    </row>
    <row r="15" ht="25" customHeight="1" spans="1:3">
      <c r="A15" s="13" t="s">
        <v>72</v>
      </c>
      <c r="B15" s="15" t="s">
        <v>73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82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3" customHeight="1" spans="1:3">
      <c r="A13" s="15" t="s">
        <v>19</v>
      </c>
      <c r="B13" s="15" t="s">
        <v>20</v>
      </c>
      <c r="C13" s="16">
        <v>2</v>
      </c>
    </row>
    <row r="14" ht="23" customHeight="1" spans="1:3">
      <c r="A14" s="15" t="s">
        <v>70</v>
      </c>
      <c r="B14" s="15" t="s">
        <v>71</v>
      </c>
      <c r="C14" s="16">
        <v>2</v>
      </c>
    </row>
    <row r="15" ht="23" customHeight="1" spans="1:3">
      <c r="A15" s="13" t="s">
        <v>72</v>
      </c>
      <c r="B15" s="15" t="s">
        <v>73</v>
      </c>
      <c r="C15" s="16">
        <v>2</v>
      </c>
    </row>
    <row r="16" ht="23" customHeight="1" spans="1:3">
      <c r="A16" s="13" t="s">
        <v>74</v>
      </c>
      <c r="B16" s="15" t="s">
        <v>75</v>
      </c>
      <c r="C16" s="16">
        <v>2</v>
      </c>
    </row>
    <row r="17" ht="23" customHeight="1" spans="1:3">
      <c r="A17" s="13" t="s">
        <v>76</v>
      </c>
      <c r="B17" s="15" t="s">
        <v>77</v>
      </c>
      <c r="C17" s="16">
        <v>2</v>
      </c>
    </row>
    <row r="18" ht="23" customHeight="1" spans="1:3">
      <c r="A18" s="13" t="s">
        <v>21</v>
      </c>
      <c r="B18" s="15" t="s">
        <v>22</v>
      </c>
      <c r="C18" s="16">
        <v>2</v>
      </c>
    </row>
    <row r="19" ht="23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84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8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86</v>
      </c>
      <c r="C10" s="16">
        <v>5</v>
      </c>
    </row>
    <row r="11" ht="25" customHeight="1" spans="1:3">
      <c r="A11" s="15" t="s">
        <v>15</v>
      </c>
      <c r="B11" s="15" t="s">
        <v>87</v>
      </c>
      <c r="C11" s="16">
        <v>5</v>
      </c>
    </row>
    <row r="12" ht="25" customHeight="1" spans="1:3">
      <c r="A12" s="15" t="s">
        <v>17</v>
      </c>
      <c r="B12" s="15" t="s">
        <v>14</v>
      </c>
      <c r="C12" s="16">
        <v>2</v>
      </c>
    </row>
    <row r="13" ht="25" customHeight="1" spans="1:3">
      <c r="A13" s="15" t="s">
        <v>19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71</v>
      </c>
      <c r="C14" s="16">
        <v>1</v>
      </c>
    </row>
    <row r="15" ht="25" customHeight="1" spans="1:3">
      <c r="A15" s="15" t="s">
        <v>45</v>
      </c>
      <c r="B15" s="15" t="s">
        <v>73</v>
      </c>
      <c r="C15" s="16">
        <v>1</v>
      </c>
    </row>
    <row r="16" ht="25" customHeight="1" spans="1:3">
      <c r="A16" s="15" t="s">
        <v>21</v>
      </c>
      <c r="B16" s="15" t="s">
        <v>75</v>
      </c>
      <c r="C16" s="16">
        <v>2</v>
      </c>
    </row>
    <row r="17" ht="25" customHeight="1" spans="1:3">
      <c r="A17" s="15" t="s">
        <v>23</v>
      </c>
      <c r="B17" s="15" t="s">
        <v>77</v>
      </c>
      <c r="C17" s="16">
        <v>2</v>
      </c>
    </row>
    <row r="18" ht="25" customHeight="1" spans="1:3">
      <c r="A18" s="15" t="s">
        <v>47</v>
      </c>
      <c r="B18" s="15" t="s">
        <v>22</v>
      </c>
      <c r="C18" s="16">
        <v>2</v>
      </c>
    </row>
    <row r="19" ht="25" customHeight="1" spans="1:3">
      <c r="A19" s="11" t="s">
        <v>27</v>
      </c>
      <c r="B19" s="17" t="s">
        <v>88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89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ignoredErrors>
    <ignoredError sqref="B19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workbookViewId="0">
      <selection activeCell="F15" sqref="F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86</v>
      </c>
      <c r="C10" s="16">
        <v>5</v>
      </c>
    </row>
    <row r="11" ht="25" customHeight="1" spans="1:3">
      <c r="A11" s="15" t="s">
        <v>15</v>
      </c>
      <c r="B11" s="15" t="s">
        <v>87</v>
      </c>
      <c r="C11" s="16">
        <v>5</v>
      </c>
    </row>
    <row r="12" ht="25" customHeight="1" spans="1:3">
      <c r="A12" s="15" t="s">
        <v>17</v>
      </c>
      <c r="B12" s="15" t="s">
        <v>14</v>
      </c>
      <c r="C12" s="16">
        <v>2</v>
      </c>
    </row>
    <row r="13" ht="25" customHeight="1" spans="1:3">
      <c r="A13" s="15" t="s">
        <v>19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71</v>
      </c>
      <c r="C14" s="16">
        <v>1</v>
      </c>
    </row>
    <row r="15" ht="25" customHeight="1" spans="1:3">
      <c r="A15" s="15" t="s">
        <v>45</v>
      </c>
      <c r="B15" s="15" t="s">
        <v>73</v>
      </c>
      <c r="C15" s="16">
        <v>1</v>
      </c>
    </row>
    <row r="16" ht="25" customHeight="1" spans="1:3">
      <c r="A16" s="15" t="s">
        <v>21</v>
      </c>
      <c r="B16" s="15" t="s">
        <v>75</v>
      </c>
      <c r="C16" s="16">
        <v>2</v>
      </c>
    </row>
    <row r="17" ht="25" customHeight="1" spans="1:3">
      <c r="A17" s="15" t="s">
        <v>23</v>
      </c>
      <c r="B17" s="15" t="s">
        <v>77</v>
      </c>
      <c r="C17" s="16">
        <v>2</v>
      </c>
    </row>
    <row r="18" ht="25" customHeight="1" spans="1:3">
      <c r="A18" s="15" t="s">
        <v>47</v>
      </c>
      <c r="B18" s="15" t="s">
        <v>22</v>
      </c>
      <c r="C18" s="16">
        <v>2</v>
      </c>
    </row>
    <row r="19" ht="25" customHeight="1" spans="1:3">
      <c r="A19" s="11" t="s">
        <v>27</v>
      </c>
      <c r="B19" s="17" t="s">
        <v>88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91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B7" sqref="B7:C7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ignoredErrors>
    <ignoredError sqref="B17" numberStoredAsText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99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109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119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129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tr">
        <f>VLOOKUP(A10,[1]Sheet1!$F:$G,2,0)</f>
        <v>PPH,MRTSN,WCHTA,PPH,9-1,TP1,POS,RED</v>
      </c>
      <c r="C10" s="16">
        <v>6</v>
      </c>
    </row>
    <row r="11" ht="25" customHeight="1" spans="1:3">
      <c r="A11" s="15" t="s">
        <v>15</v>
      </c>
      <c r="B11" s="15" t="str">
        <f>VLOOKUP(A11,[1]Sheet1!$F:$G,2,0)</f>
        <v>PPH,MRTSN,WCHTA,PPH,9-1,TP1,NEG,BLK</v>
      </c>
      <c r="C11" s="16">
        <v>6</v>
      </c>
    </row>
    <row r="12" ht="25" customHeight="1" spans="1:3">
      <c r="A12" s="15" t="s">
        <v>17</v>
      </c>
      <c r="B12" s="15" t="str">
        <f>VLOOKUP(A12,[1]Sheet1!$F:$G,2,0)</f>
        <v>PPH,MRTSN,WCHTA,PPH,9-1,TP2,POS,RED</v>
      </c>
      <c r="C12" s="16">
        <v>2</v>
      </c>
    </row>
    <row r="13" ht="25" customHeight="1" spans="1:3">
      <c r="A13" s="15" t="s">
        <v>19</v>
      </c>
      <c r="B13" s="15" t="str">
        <f>VLOOKUP(A13,[1]Sheet1!$F:$G,2,0)</f>
        <v>PPH,MRTSN,WCHTA,PPH,9-1,TP2,NEG,BLK</v>
      </c>
      <c r="C13" s="16">
        <v>2</v>
      </c>
    </row>
    <row r="14" ht="25" customHeight="1" spans="1:3">
      <c r="A14" s="15" t="s">
        <v>21</v>
      </c>
      <c r="B14" s="15" t="str">
        <f>VLOOKUP(A14,[1]Sheet1!$F:$G,2,0)</f>
        <v>MRTSN,WCHTA,SH,N/S,PAIR 2,#8CU-#6AL</v>
      </c>
      <c r="C14" s="16">
        <v>2</v>
      </c>
    </row>
    <row r="15" ht="25" customHeight="1" spans="1:3">
      <c r="A15" s="15" t="s">
        <v>23</v>
      </c>
      <c r="B15" s="15" t="str">
        <f>VLOOKUP(A15,[1]Sheet1!$F:$G,2,0)</f>
        <v>MRTSN,WCHTA,SH,N/S,PAIR 5,#8CU-#6AL</v>
      </c>
      <c r="C15" s="16">
        <v>2</v>
      </c>
    </row>
    <row r="16" ht="25" customHeight="1" spans="1:3">
      <c r="A16" s="15" t="s">
        <v>25</v>
      </c>
      <c r="B16" s="15" t="str">
        <f>VLOOKUP(A16,[1]Sheet1!$F:$G,2,0)</f>
        <v>MRTSN,WCHTA,SH,N/S,PAIR 10,#8CU-#6AL,XTRACKER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43</v>
      </c>
      <c r="B12" s="15" t="s">
        <v>44</v>
      </c>
      <c r="C12" s="16">
        <v>2</v>
      </c>
    </row>
    <row r="13" ht="25" customHeight="1" spans="1:3">
      <c r="A13" s="15" t="s">
        <v>45</v>
      </c>
      <c r="B13" s="15" t="s">
        <v>46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47</v>
      </c>
      <c r="B16" s="15" t="s">
        <v>48</v>
      </c>
      <c r="C16" s="16">
        <v>2</v>
      </c>
    </row>
    <row r="17" ht="25" customHeight="1" spans="1:3">
      <c r="A17" s="11" t="s">
        <v>27</v>
      </c>
      <c r="B17" s="17">
        <v>466.38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135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70" zoomScaleNormal="100" workbookViewId="0">
      <selection activeCell="A23" sqref="A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70</v>
      </c>
      <c r="B14" s="15" t="s">
        <v>71</v>
      </c>
      <c r="C14" s="16">
        <v>2</v>
      </c>
    </row>
    <row r="15" ht="25" customHeight="1" spans="1:3">
      <c r="A15" s="13" t="s">
        <v>72</v>
      </c>
      <c r="B15" s="15" t="s">
        <v>73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137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3" customHeight="1" spans="1:3">
      <c r="A13" s="15" t="s">
        <v>19</v>
      </c>
      <c r="B13" s="15" t="s">
        <v>20</v>
      </c>
      <c r="C13" s="16">
        <v>2</v>
      </c>
    </row>
    <row r="14" ht="23" customHeight="1" spans="1:3">
      <c r="A14" s="15" t="s">
        <v>70</v>
      </c>
      <c r="B14" s="15" t="s">
        <v>71</v>
      </c>
      <c r="C14" s="16">
        <v>2</v>
      </c>
    </row>
    <row r="15" ht="23" customHeight="1" spans="1:3">
      <c r="A15" s="13" t="s">
        <v>72</v>
      </c>
      <c r="B15" s="15" t="s">
        <v>73</v>
      </c>
      <c r="C15" s="16">
        <v>2</v>
      </c>
    </row>
    <row r="16" ht="23" customHeight="1" spans="1:3">
      <c r="A16" s="13" t="s">
        <v>74</v>
      </c>
      <c r="B16" s="15" t="s">
        <v>75</v>
      </c>
      <c r="C16" s="16">
        <v>2</v>
      </c>
    </row>
    <row r="17" ht="23" customHeight="1" spans="1:3">
      <c r="A17" s="13" t="s">
        <v>76</v>
      </c>
      <c r="B17" s="15" t="s">
        <v>77</v>
      </c>
      <c r="C17" s="16">
        <v>2</v>
      </c>
    </row>
    <row r="18" ht="23" customHeight="1" spans="1:3">
      <c r="A18" s="13" t="s">
        <v>21</v>
      </c>
      <c r="B18" s="15" t="s">
        <v>22</v>
      </c>
      <c r="C18" s="16">
        <v>2</v>
      </c>
    </row>
    <row r="19" ht="23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>
        <v>414.24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139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8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workbookViewId="0">
      <selection activeCell="B5" sqref="B5:C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1</v>
      </c>
    </row>
    <row r="15" ht="25" customHeight="1" spans="1:3">
      <c r="A15" s="13" t="s">
        <v>45</v>
      </c>
      <c r="B15" s="15" t="s">
        <v>46</v>
      </c>
      <c r="C15" s="16">
        <v>1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47</v>
      </c>
      <c r="B18" s="15" t="s">
        <v>48</v>
      </c>
      <c r="C18" s="16">
        <v>2</v>
      </c>
    </row>
    <row r="19" ht="25" customHeight="1" spans="1:3">
      <c r="A19" s="11" t="s">
        <v>27</v>
      </c>
      <c r="B19" s="17" t="s">
        <v>88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141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143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145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A8" sqref="A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147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149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151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153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155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157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1" t="s">
        <v>27</v>
      </c>
      <c r="B17" s="17" t="s">
        <v>38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159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160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70</v>
      </c>
      <c r="B10" s="15" t="s">
        <v>71</v>
      </c>
      <c r="C10" s="16">
        <v>3</v>
      </c>
    </row>
    <row r="11" ht="25" customHeight="1" spans="1:3">
      <c r="A11" s="15" t="s">
        <v>72</v>
      </c>
      <c r="B11" s="15" t="s">
        <v>73</v>
      </c>
      <c r="C11" s="16">
        <v>3</v>
      </c>
    </row>
    <row r="12" ht="25" customHeight="1" spans="1:3">
      <c r="A12" s="15" t="s">
        <v>161</v>
      </c>
      <c r="B12" s="15" t="s">
        <v>162</v>
      </c>
      <c r="C12" s="16">
        <v>2</v>
      </c>
    </row>
    <row r="13" ht="25" customHeight="1" spans="1:3">
      <c r="A13" s="15" t="s">
        <v>163</v>
      </c>
      <c r="B13" s="15" t="s">
        <v>164</v>
      </c>
      <c r="C13" s="16">
        <v>2</v>
      </c>
    </row>
    <row r="14" ht="25" customHeight="1" spans="1:3">
      <c r="A14" s="15" t="s">
        <v>74</v>
      </c>
      <c r="B14" s="15" t="s">
        <v>75</v>
      </c>
      <c r="C14" s="16">
        <v>5</v>
      </c>
    </row>
    <row r="15" ht="25" customHeight="1" spans="1:3">
      <c r="A15" s="13" t="s">
        <v>76</v>
      </c>
      <c r="B15" s="15" t="s">
        <v>77</v>
      </c>
      <c r="C15" s="16">
        <v>5</v>
      </c>
    </row>
    <row r="16" ht="25" customHeight="1" spans="1:3">
      <c r="A16" s="13" t="s">
        <v>21</v>
      </c>
      <c r="B16" s="15" t="s">
        <v>22</v>
      </c>
      <c r="C16" s="16">
        <v>5</v>
      </c>
    </row>
    <row r="17" ht="25" customHeight="1" spans="1:3">
      <c r="A17" s="11" t="s">
        <v>27</v>
      </c>
      <c r="B17" s="17" t="s">
        <v>165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166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workbookViewId="0">
      <selection activeCell="B16" sqref="B16:C19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167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170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B18" sqref="B18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170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workbookViewId="0">
      <selection activeCell="A10" sqref="A10:C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173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173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176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176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178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179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180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179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181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182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4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183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182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184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185</v>
      </c>
      <c r="B10" s="15" t="s">
        <v>186</v>
      </c>
      <c r="C10" s="16">
        <v>2</v>
      </c>
    </row>
    <row r="11" ht="25" customHeight="1" spans="1:3">
      <c r="A11" s="15" t="s">
        <v>187</v>
      </c>
      <c r="B11" s="15" t="s">
        <v>188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1" t="s">
        <v>27</v>
      </c>
      <c r="B18" s="17">
        <v>309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189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190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185</v>
      </c>
      <c r="B10" s="15" t="s">
        <v>186</v>
      </c>
      <c r="C10" s="16">
        <v>2</v>
      </c>
    </row>
    <row r="11" ht="25" customHeight="1" spans="1:3">
      <c r="A11" s="15" t="s">
        <v>187</v>
      </c>
      <c r="B11" s="15" t="s">
        <v>188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1" t="s">
        <v>27</v>
      </c>
      <c r="B18" s="17" t="s">
        <v>191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192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193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185</v>
      </c>
      <c r="B10" s="15" t="s">
        <v>186</v>
      </c>
      <c r="C10" s="16">
        <v>2</v>
      </c>
    </row>
    <row r="11" ht="25" customHeight="1" spans="1:3">
      <c r="A11" s="15" t="s">
        <v>187</v>
      </c>
      <c r="B11" s="15" t="s">
        <v>188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1" t="s">
        <v>27</v>
      </c>
      <c r="B18" s="17" t="s">
        <v>191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194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195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168</v>
      </c>
      <c r="B10" s="15" t="s">
        <v>196</v>
      </c>
      <c r="C10" s="16">
        <v>2</v>
      </c>
    </row>
    <row r="11" ht="25" customHeight="1" spans="1:3">
      <c r="A11" s="15" t="s">
        <v>169</v>
      </c>
      <c r="B11" s="15" t="s">
        <v>197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74</v>
      </c>
      <c r="B14" s="15" t="s">
        <v>75</v>
      </c>
      <c r="C14" s="16">
        <v>2</v>
      </c>
    </row>
    <row r="15" ht="25" customHeight="1" spans="1:3">
      <c r="A15" s="13" t="s">
        <v>76</v>
      </c>
      <c r="B15" s="15" t="s">
        <v>77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78</v>
      </c>
      <c r="B17" s="15" t="s">
        <v>79</v>
      </c>
      <c r="C17" s="16">
        <v>2</v>
      </c>
    </row>
    <row r="18" ht="25" customHeight="1" spans="1:3">
      <c r="A18" s="11" t="s">
        <v>27</v>
      </c>
      <c r="B18" s="17" t="s">
        <v>198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199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62</v>
      </c>
      <c r="B10" s="15" t="s">
        <v>86</v>
      </c>
      <c r="C10" s="16">
        <v>2</v>
      </c>
    </row>
    <row r="11" ht="25" customHeight="1" spans="1:3">
      <c r="A11" s="15" t="s">
        <v>63</v>
      </c>
      <c r="B11" s="15" t="s">
        <v>87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74</v>
      </c>
      <c r="B14" s="15" t="s">
        <v>75</v>
      </c>
      <c r="C14" s="16">
        <v>2</v>
      </c>
    </row>
    <row r="15" ht="25" customHeight="1" spans="1:3">
      <c r="A15" s="13" t="s">
        <v>76</v>
      </c>
      <c r="B15" s="15" t="s">
        <v>77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78</v>
      </c>
      <c r="B17" s="15" t="s">
        <v>79</v>
      </c>
      <c r="C17" s="16">
        <v>2</v>
      </c>
    </row>
    <row r="18" ht="25" customHeight="1" spans="1:3">
      <c r="A18" s="11" t="s">
        <v>27</v>
      </c>
      <c r="B18" s="17" t="s">
        <v>198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201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topLeftCell="A2" workbookViewId="0">
      <selection activeCell="C10" sqref="C10:C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203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ignoredErrors>
    <ignoredError sqref="B10:B15" evalError="1"/>
  </ignoredError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A16" sqref="A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203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topLeftCell="A2" workbookViewId="0">
      <selection activeCell="I16" sqref="I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>
        <v>308.48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206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18" sqref="B18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206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="85" zoomScaleNormal="100" topLeftCell="A2" workbookViewId="0">
      <selection activeCell="A15" sqref="A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208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4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4</v>
      </c>
    </row>
    <row r="12" ht="25" customHeight="1" spans="1:3">
      <c r="A12" s="15" t="s">
        <v>168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169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21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23</v>
      </c>
      <c r="B15" s="15" t="e">
        <f>VLOOKUP(A15,[2]Sheet1!$H:$I,2,0)</f>
        <v>#N/A</v>
      </c>
      <c r="C15" s="16">
        <v>2</v>
      </c>
    </row>
    <row r="16" ht="25" customHeight="1" spans="1:3">
      <c r="A16" s="11" t="s">
        <v>27</v>
      </c>
      <c r="B16" s="17" t="s">
        <v>209</v>
      </c>
      <c r="C16" s="17"/>
    </row>
    <row r="17" ht="25" customHeight="1" spans="1:3">
      <c r="A17" s="11" t="s">
        <v>28</v>
      </c>
      <c r="B17" s="12" t="s">
        <v>29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210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9" orientation="portrait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18" sqref="B18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211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e">
        <f>VLOOKUP(A10,[2]Sheet1!$H:$I,2,0)</f>
        <v>#N/A</v>
      </c>
      <c r="C10" s="16">
        <v>3</v>
      </c>
    </row>
    <row r="11" ht="25" customHeight="1" spans="1:3">
      <c r="A11" s="15" t="s">
        <v>15</v>
      </c>
      <c r="B11" s="15" t="e">
        <f>VLOOKUP(A11,[2]Sheet1!$H:$I,2,0)</f>
        <v>#N/A</v>
      </c>
      <c r="C11" s="16">
        <v>3</v>
      </c>
    </row>
    <row r="12" ht="25" customHeight="1" spans="1:3">
      <c r="A12" s="15" t="s">
        <v>21</v>
      </c>
      <c r="B12" s="15" t="e">
        <f>VLOOKUP(A12,[2]Sheet1!$H:$I,2,0)</f>
        <v>#N/A</v>
      </c>
      <c r="C12" s="16">
        <v>2</v>
      </c>
    </row>
    <row r="13" ht="25" customHeight="1" spans="1:3">
      <c r="A13" s="15" t="s">
        <v>23</v>
      </c>
      <c r="B13" s="15" t="e">
        <f>VLOOKUP(A13,[2]Sheet1!$H:$I,2,0)</f>
        <v>#N/A</v>
      </c>
      <c r="C13" s="16">
        <v>2</v>
      </c>
    </row>
    <row r="14" ht="25" customHeight="1" spans="1:3">
      <c r="A14" s="15" t="s">
        <v>168</v>
      </c>
      <c r="B14" s="15" t="e">
        <f>VLOOKUP(A14,[2]Sheet1!$H:$I,2,0)</f>
        <v>#N/A</v>
      </c>
      <c r="C14" s="16">
        <v>2</v>
      </c>
    </row>
    <row r="15" ht="25" customHeight="1" spans="1:3">
      <c r="A15" s="13" t="s">
        <v>169</v>
      </c>
      <c r="B15" s="15" t="e">
        <f>VLOOKUP(A15,[2]Sheet1!$H:$I,2,0)</f>
        <v>#N/A</v>
      </c>
      <c r="C15" s="16">
        <v>2</v>
      </c>
    </row>
    <row r="16" ht="25" customHeight="1" spans="1:3">
      <c r="A16" s="13" t="s">
        <v>43</v>
      </c>
      <c r="B16" s="15" t="e">
        <f>VLOOKUP(A16,[2]Sheet1!$H:$I,2,0)</f>
        <v>#N/A</v>
      </c>
      <c r="C16" s="16">
        <v>1</v>
      </c>
    </row>
    <row r="17" ht="25" customHeight="1" spans="1:3">
      <c r="A17" s="13" t="s">
        <v>45</v>
      </c>
      <c r="B17" s="15" t="e">
        <f>VLOOKUP(A17,[2]Sheet1!$H:$I,2,0)</f>
        <v>#N/A</v>
      </c>
      <c r="C17" s="16">
        <v>1</v>
      </c>
    </row>
    <row r="18" ht="25" customHeight="1" spans="1:3">
      <c r="A18" s="11" t="s">
        <v>27</v>
      </c>
      <c r="B18" s="17">
        <v>308.74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210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212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3</v>
      </c>
    </row>
    <row r="11" ht="25" customHeight="1" spans="1:3">
      <c r="A11" s="15" t="s">
        <v>15</v>
      </c>
      <c r="B11" s="15" t="s">
        <v>16</v>
      </c>
      <c r="C11" s="16">
        <v>3</v>
      </c>
    </row>
    <row r="12" ht="25" customHeight="1" spans="1:3">
      <c r="A12" s="15" t="s">
        <v>161</v>
      </c>
      <c r="B12" s="15" t="s">
        <v>162</v>
      </c>
      <c r="C12" s="16">
        <v>2</v>
      </c>
    </row>
    <row r="13" ht="25" customHeight="1" spans="1:3">
      <c r="A13" s="15" t="s">
        <v>163</v>
      </c>
      <c r="B13" s="15" t="s">
        <v>164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1</v>
      </c>
    </row>
    <row r="15" ht="25" customHeight="1" spans="1:3">
      <c r="A15" s="13" t="s">
        <v>45</v>
      </c>
      <c r="B15" s="15" t="s">
        <v>46</v>
      </c>
      <c r="C15" s="16">
        <v>1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213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214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215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3</v>
      </c>
    </row>
    <row r="11" ht="25" customHeight="1" spans="1:3">
      <c r="A11" s="15" t="s">
        <v>15</v>
      </c>
      <c r="B11" s="15" t="s">
        <v>16</v>
      </c>
      <c r="C11" s="16">
        <v>3</v>
      </c>
    </row>
    <row r="12" ht="25" customHeight="1" spans="1:3">
      <c r="A12" s="15" t="s">
        <v>161</v>
      </c>
      <c r="B12" s="15" t="s">
        <v>162</v>
      </c>
      <c r="C12" s="16">
        <v>2</v>
      </c>
    </row>
    <row r="13" ht="25" customHeight="1" spans="1:3">
      <c r="A13" s="15" t="s">
        <v>163</v>
      </c>
      <c r="B13" s="15" t="s">
        <v>164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1</v>
      </c>
    </row>
    <row r="15" ht="25" customHeight="1" spans="1:3">
      <c r="A15" s="13" t="s">
        <v>45</v>
      </c>
      <c r="B15" s="15" t="s">
        <v>46</v>
      </c>
      <c r="C15" s="16">
        <v>1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213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216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217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218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219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220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218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221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222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218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223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224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234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235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21</v>
      </c>
      <c r="B12" s="15" t="s">
        <v>22</v>
      </c>
      <c r="C12" s="16">
        <v>3</v>
      </c>
    </row>
    <row r="13" ht="25" customHeight="1" spans="1:3">
      <c r="A13" s="15" t="s">
        <v>185</v>
      </c>
      <c r="B13" s="15" t="s">
        <v>186</v>
      </c>
      <c r="C13" s="16">
        <v>1</v>
      </c>
    </row>
    <row r="14" ht="25" customHeight="1" spans="1:3">
      <c r="A14" s="15" t="s">
        <v>187</v>
      </c>
      <c r="B14" s="15" t="s">
        <v>188</v>
      </c>
      <c r="C14" s="16">
        <v>1</v>
      </c>
    </row>
    <row r="15" ht="25" customHeight="1" spans="1:3">
      <c r="A15" s="13" t="s">
        <v>43</v>
      </c>
      <c r="B15" s="15" t="s">
        <v>44</v>
      </c>
      <c r="C15" s="16">
        <v>1</v>
      </c>
    </row>
    <row r="16" ht="25" customHeight="1" spans="1:3">
      <c r="A16" s="13" t="s">
        <v>45</v>
      </c>
      <c r="B16" s="15" t="s">
        <v>46</v>
      </c>
      <c r="C16" s="16">
        <v>1</v>
      </c>
    </row>
    <row r="17" ht="25" customHeight="1" spans="1:3">
      <c r="A17" s="13" t="s">
        <v>23</v>
      </c>
      <c r="B17" s="15" t="s">
        <v>24</v>
      </c>
      <c r="C17" s="16">
        <v>1</v>
      </c>
    </row>
    <row r="18" ht="25" customHeight="1" spans="1:3">
      <c r="A18" s="11" t="s">
        <v>27</v>
      </c>
      <c r="B18" s="17">
        <v>386.9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236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autoFilter xmlns:etc="http://www.wps.cn/officeDocument/2017/etCustomData" ref="A9:C24" etc:filterBottomFollowUsedRange="0">
    <extLst/>
  </autoFilter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C10" sqref="B10:C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237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185</v>
      </c>
      <c r="B10" s="15" t="s">
        <v>186</v>
      </c>
      <c r="C10" s="16">
        <v>2</v>
      </c>
    </row>
    <row r="11" ht="25" customHeight="1" spans="1:3">
      <c r="A11" s="15" t="s">
        <v>187</v>
      </c>
      <c r="B11" s="15" t="s">
        <v>188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1" t="s">
        <v>27</v>
      </c>
      <c r="B18" s="17" t="s">
        <v>191</v>
      </c>
      <c r="C18" s="17"/>
    </row>
    <row r="19" ht="25" customHeight="1" spans="1:3">
      <c r="A19" s="11" t="s">
        <v>28</v>
      </c>
      <c r="B19" s="12" t="s">
        <v>29</v>
      </c>
      <c r="C19" s="12"/>
    </row>
    <row r="20" ht="25" customHeight="1" spans="1:3">
      <c r="A20" s="11" t="s">
        <v>30</v>
      </c>
      <c r="B20" s="17" t="s">
        <v>31</v>
      </c>
      <c r="C20" s="17"/>
    </row>
    <row r="21" ht="25" customHeight="1" spans="1:3">
      <c r="A21" s="11" t="s">
        <v>32</v>
      </c>
      <c r="B21" s="12" t="s">
        <v>33</v>
      </c>
      <c r="C21" s="12"/>
    </row>
    <row r="22" ht="25" customHeight="1" spans="1:3">
      <c r="A22" s="18" t="s">
        <v>34</v>
      </c>
      <c r="B22" s="17" t="s">
        <v>238</v>
      </c>
      <c r="C22" s="17"/>
    </row>
    <row r="23" ht="25" customHeight="1" spans="1:3">
      <c r="A23" s="19" t="s">
        <v>36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239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70</v>
      </c>
      <c r="B12" s="15" t="s">
        <v>71</v>
      </c>
      <c r="C12" s="16">
        <v>2</v>
      </c>
    </row>
    <row r="13" ht="25" customHeight="1" spans="1:3">
      <c r="A13" s="15" t="s">
        <v>72</v>
      </c>
      <c r="B13" s="15" t="s">
        <v>73</v>
      </c>
      <c r="C13" s="16">
        <v>2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74</v>
      </c>
      <c r="B16" s="15" t="s">
        <v>75</v>
      </c>
      <c r="C16" s="16">
        <v>2</v>
      </c>
    </row>
    <row r="17" ht="25" customHeight="1" spans="1:3">
      <c r="A17" s="13" t="s">
        <v>76</v>
      </c>
      <c r="B17" s="15" t="s">
        <v>77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23</v>
      </c>
      <c r="B19" s="15" t="s">
        <v>24</v>
      </c>
      <c r="C19" s="16">
        <v>2</v>
      </c>
    </row>
    <row r="20" ht="25" customHeight="1" spans="1:3">
      <c r="A20" s="13" t="s">
        <v>47</v>
      </c>
      <c r="B20" s="15" t="s">
        <v>48</v>
      </c>
      <c r="C20" s="16">
        <v>2</v>
      </c>
    </row>
    <row r="21" ht="25" customHeight="1" spans="1:3">
      <c r="A21" s="11" t="s">
        <v>27</v>
      </c>
      <c r="B21" s="17" t="s">
        <v>218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240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241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247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248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249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2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250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251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2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252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253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9"/>
  <sheetViews>
    <sheetView view="pageBreakPreview" zoomScaleNormal="100" topLeftCell="A8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254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1</v>
      </c>
    </row>
    <row r="11" ht="25" customHeight="1" spans="1:3">
      <c r="A11" s="15" t="s">
        <v>15</v>
      </c>
      <c r="B11" s="15" t="s">
        <v>16</v>
      </c>
      <c r="C11" s="16">
        <v>1</v>
      </c>
    </row>
    <row r="12" ht="25" customHeight="1" spans="1:3">
      <c r="A12" s="15" t="s">
        <v>225</v>
      </c>
      <c r="B12" s="15" t="s">
        <v>226</v>
      </c>
      <c r="C12" s="16">
        <v>1</v>
      </c>
    </row>
    <row r="13" ht="25" customHeight="1" spans="1:3">
      <c r="A13" s="15" t="s">
        <v>227</v>
      </c>
      <c r="B13" s="15" t="s">
        <v>228</v>
      </c>
      <c r="C13" s="16">
        <v>1</v>
      </c>
    </row>
    <row r="14" ht="25" customHeight="1" spans="1:3">
      <c r="A14" s="15" t="s">
        <v>229</v>
      </c>
      <c r="B14" s="15" t="s">
        <v>230</v>
      </c>
      <c r="C14" s="16">
        <v>2</v>
      </c>
    </row>
    <row r="15" ht="25" customHeight="1" spans="1:3">
      <c r="A15" s="13" t="s">
        <v>231</v>
      </c>
      <c r="B15" s="15" t="s">
        <v>232</v>
      </c>
      <c r="C15" s="16">
        <v>2</v>
      </c>
    </row>
    <row r="16" ht="25" customHeight="1" spans="1:3">
      <c r="A16" s="13" t="s">
        <v>70</v>
      </c>
      <c r="B16" s="15" t="s">
        <v>71</v>
      </c>
      <c r="C16" s="16">
        <v>1</v>
      </c>
    </row>
    <row r="17" ht="25" customHeight="1" spans="1:3">
      <c r="A17" s="13" t="s">
        <v>72</v>
      </c>
      <c r="B17" s="15" t="s">
        <v>73</v>
      </c>
      <c r="C17" s="16">
        <v>1</v>
      </c>
    </row>
    <row r="18" ht="25" customHeight="1" spans="1:3">
      <c r="A18" s="13" t="s">
        <v>242</v>
      </c>
      <c r="B18" s="15" t="s">
        <v>243</v>
      </c>
      <c r="C18" s="16">
        <v>1</v>
      </c>
    </row>
    <row r="19" ht="25" customHeight="1" spans="1:3">
      <c r="A19" s="13" t="s">
        <v>244</v>
      </c>
      <c r="B19" s="15" t="s">
        <v>245</v>
      </c>
      <c r="C19" s="16">
        <v>1</v>
      </c>
    </row>
    <row r="20" ht="25" customHeight="1" spans="1:3">
      <c r="A20" s="13" t="s">
        <v>43</v>
      </c>
      <c r="B20" s="15" t="s">
        <v>44</v>
      </c>
      <c r="C20" s="16">
        <v>1</v>
      </c>
    </row>
    <row r="21" ht="25" customHeight="1" spans="1:3">
      <c r="A21" s="13" t="s">
        <v>45</v>
      </c>
      <c r="B21" s="15" t="s">
        <v>46</v>
      </c>
      <c r="C21" s="16">
        <v>1</v>
      </c>
    </row>
    <row r="22" ht="25" customHeight="1" spans="1:3">
      <c r="A22" s="13" t="s">
        <v>74</v>
      </c>
      <c r="B22" s="15" t="s">
        <v>75</v>
      </c>
      <c r="C22" s="16">
        <v>1</v>
      </c>
    </row>
    <row r="23" ht="25" customHeight="1" spans="1:3">
      <c r="A23" s="13" t="s">
        <v>76</v>
      </c>
      <c r="B23" s="15" t="s">
        <v>77</v>
      </c>
      <c r="C23" s="16">
        <v>1</v>
      </c>
    </row>
    <row r="24" ht="25" customHeight="1" spans="1:3">
      <c r="A24" s="13" t="s">
        <v>21</v>
      </c>
      <c r="B24" s="15" t="s">
        <v>22</v>
      </c>
      <c r="C24" s="16">
        <v>2</v>
      </c>
    </row>
    <row r="25" ht="25" customHeight="1" spans="1:3">
      <c r="A25" s="13" t="s">
        <v>23</v>
      </c>
      <c r="B25" s="15" t="s">
        <v>24</v>
      </c>
      <c r="C25" s="16">
        <v>2</v>
      </c>
    </row>
    <row r="26" ht="25" customHeight="1" spans="1:3">
      <c r="A26" s="13" t="s">
        <v>25</v>
      </c>
      <c r="B26" s="15" t="s">
        <v>26</v>
      </c>
      <c r="C26" s="16">
        <v>1</v>
      </c>
    </row>
    <row r="27" ht="25" customHeight="1" spans="1:3">
      <c r="A27" s="13" t="s">
        <v>47</v>
      </c>
      <c r="B27" s="15" t="s">
        <v>48</v>
      </c>
      <c r="C27" s="16">
        <v>1</v>
      </c>
    </row>
    <row r="28" ht="25" customHeight="1" spans="1:3">
      <c r="A28" s="11" t="s">
        <v>27</v>
      </c>
      <c r="B28" s="17" t="s">
        <v>255</v>
      </c>
      <c r="C28" s="17"/>
    </row>
    <row r="29" ht="25" customHeight="1" spans="1:3">
      <c r="A29" s="11" t="s">
        <v>28</v>
      </c>
      <c r="B29" s="12" t="s">
        <v>29</v>
      </c>
      <c r="C29" s="12"/>
    </row>
    <row r="30" ht="25" customHeight="1" spans="1:3">
      <c r="A30" s="11" t="s">
        <v>30</v>
      </c>
      <c r="B30" s="17" t="s">
        <v>31</v>
      </c>
      <c r="C30" s="17"/>
    </row>
    <row r="31" ht="25" customHeight="1" spans="1:3">
      <c r="A31" s="11" t="s">
        <v>32</v>
      </c>
      <c r="B31" s="12" t="s">
        <v>33</v>
      </c>
      <c r="C31" s="12"/>
    </row>
    <row r="32" ht="25" customHeight="1" spans="1:3">
      <c r="A32" s="18" t="s">
        <v>34</v>
      </c>
      <c r="B32" s="17" t="s">
        <v>256</v>
      </c>
      <c r="C32" s="17"/>
    </row>
    <row r="33" ht="25" customHeight="1" spans="1:3">
      <c r="A33" s="19" t="s">
        <v>36</v>
      </c>
      <c r="B33" s="20"/>
      <c r="C33" s="21"/>
    </row>
    <row r="34" ht="146" customHeight="1" spans="1:3">
      <c r="A34" s="22" t="str">
        <f>_xlfn.DISPIMG("ID_58913C71E3164241A1CD2B9CBBBF3137",1)</f>
        <v>=DISPIMG("ID_58913C71E3164241A1CD2B9CBBBF3137",1)</v>
      </c>
      <c r="B34" s="23"/>
      <c r="C34" s="24"/>
    </row>
    <row r="39" spans="1:3">
      <c r="B3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8:C28"/>
    <mergeCell ref="B29:C29"/>
    <mergeCell ref="B30:C30"/>
    <mergeCell ref="B31:C31"/>
    <mergeCell ref="B32:C32"/>
    <mergeCell ref="A34:C34"/>
  </mergeCells>
  <pageMargins left="0.75" right="0.75" top="1" bottom="1" header="0.5" footer="0.5"/>
  <pageSetup paperSize="9" scale="71" orientation="portrait"/>
  <headerFooter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257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258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259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260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261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262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263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264</v>
      </c>
      <c r="B10" s="15" t="s">
        <v>265</v>
      </c>
      <c r="C10" s="16">
        <v>2</v>
      </c>
    </row>
    <row r="11" ht="25" customHeight="1" spans="1:3">
      <c r="A11" s="15" t="s">
        <v>266</v>
      </c>
      <c r="B11" s="15" t="s">
        <v>267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2</v>
      </c>
    </row>
    <row r="13" ht="25" customHeight="1" spans="1:3">
      <c r="A13" s="15" t="s">
        <v>231</v>
      </c>
      <c r="B13" s="15" t="s">
        <v>232</v>
      </c>
      <c r="C13" s="16">
        <v>2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268</v>
      </c>
      <c r="B16" s="15" t="s">
        <v>269</v>
      </c>
      <c r="C16" s="16">
        <v>2</v>
      </c>
    </row>
    <row r="17" ht="25" customHeight="1" spans="1:3">
      <c r="A17" s="13" t="s">
        <v>270</v>
      </c>
      <c r="B17" s="15" t="s">
        <v>271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 t="s">
        <v>272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273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Normal="100" topLeftCell="A6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274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264</v>
      </c>
      <c r="B10" s="15" t="s">
        <v>265</v>
      </c>
      <c r="C10" s="16">
        <v>2</v>
      </c>
    </row>
    <row r="11" ht="25" customHeight="1" spans="1:3">
      <c r="A11" s="15" t="s">
        <v>266</v>
      </c>
      <c r="B11" s="15" t="s">
        <v>267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2</v>
      </c>
    </row>
    <row r="13" ht="25" customHeight="1" spans="1:3">
      <c r="A13" s="15" t="s">
        <v>231</v>
      </c>
      <c r="B13" s="15" t="s">
        <v>232</v>
      </c>
      <c r="C13" s="16">
        <v>2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268</v>
      </c>
      <c r="B16" s="15" t="s">
        <v>269</v>
      </c>
      <c r="C16" s="16">
        <v>2</v>
      </c>
    </row>
    <row r="17" ht="25" customHeight="1" spans="1:3">
      <c r="A17" s="13" t="s">
        <v>270</v>
      </c>
      <c r="B17" s="15" t="s">
        <v>271</v>
      </c>
      <c r="C17" s="16">
        <v>2</v>
      </c>
    </row>
    <row r="18" ht="25" customHeight="1" spans="1:3">
      <c r="A18" s="13" t="s">
        <v>21</v>
      </c>
      <c r="B18" s="15" t="s">
        <v>22</v>
      </c>
      <c r="C18" s="16">
        <v>2</v>
      </c>
    </row>
    <row r="19" ht="25" customHeight="1" spans="1:3">
      <c r="A19" s="13" t="s">
        <v>78</v>
      </c>
      <c r="B19" s="15" t="s">
        <v>79</v>
      </c>
      <c r="C19" s="16">
        <v>2</v>
      </c>
    </row>
    <row r="20" ht="25" customHeight="1" spans="1:3">
      <c r="A20" s="13" t="s">
        <v>80</v>
      </c>
      <c r="B20" s="15" t="s">
        <v>81</v>
      </c>
      <c r="C20" s="16">
        <v>2</v>
      </c>
    </row>
    <row r="21" ht="25" customHeight="1" spans="1:3">
      <c r="A21" s="11" t="s">
        <v>27</v>
      </c>
      <c r="B21" s="17" t="s">
        <v>272</v>
      </c>
      <c r="C21" s="17"/>
    </row>
    <row r="22" ht="25" customHeight="1" spans="1:3">
      <c r="A22" s="11" t="s">
        <v>28</v>
      </c>
      <c r="B22" s="12" t="s">
        <v>29</v>
      </c>
      <c r="C22" s="12"/>
    </row>
    <row r="23" ht="25" customHeight="1" spans="1:3">
      <c r="A23" s="11" t="s">
        <v>30</v>
      </c>
      <c r="B23" s="17" t="s">
        <v>31</v>
      </c>
      <c r="C23" s="17"/>
    </row>
    <row r="24" ht="25" customHeight="1" spans="1:3">
      <c r="A24" s="11" t="s">
        <v>32</v>
      </c>
      <c r="B24" s="12" t="s">
        <v>33</v>
      </c>
      <c r="C24" s="12"/>
    </row>
    <row r="25" ht="25" customHeight="1" spans="1:3">
      <c r="A25" s="18" t="s">
        <v>34</v>
      </c>
      <c r="B25" s="17" t="s">
        <v>275</v>
      </c>
      <c r="C25" s="17"/>
    </row>
    <row r="26" ht="25" customHeight="1" spans="1:3">
      <c r="A26" s="19" t="s">
        <v>36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276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277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278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43</v>
      </c>
      <c r="B14" s="15" t="s">
        <v>44</v>
      </c>
      <c r="C14" s="16">
        <v>2</v>
      </c>
    </row>
    <row r="15" ht="25" customHeight="1" spans="1:3">
      <c r="A15" s="13" t="s">
        <v>45</v>
      </c>
      <c r="B15" s="15" t="s">
        <v>46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233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279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280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281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282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283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284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285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286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287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288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289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290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225</v>
      </c>
      <c r="B10" s="15" t="s">
        <v>226</v>
      </c>
      <c r="C10" s="16">
        <v>2</v>
      </c>
    </row>
    <row r="11" ht="25" customHeight="1" spans="1:3">
      <c r="A11" s="15" t="s">
        <v>227</v>
      </c>
      <c r="B11" s="15" t="s">
        <v>228</v>
      </c>
      <c r="C11" s="16">
        <v>2</v>
      </c>
    </row>
    <row r="12" ht="25" customHeight="1" spans="1:3">
      <c r="A12" s="15" t="s">
        <v>229</v>
      </c>
      <c r="B12" s="15" t="s">
        <v>230</v>
      </c>
      <c r="C12" s="16">
        <v>4</v>
      </c>
    </row>
    <row r="13" ht="25" customHeight="1" spans="1:3">
      <c r="A13" s="15" t="s">
        <v>231</v>
      </c>
      <c r="B13" s="15" t="s">
        <v>232</v>
      </c>
      <c r="C13" s="16">
        <v>4</v>
      </c>
    </row>
    <row r="14" ht="25" customHeight="1" spans="1:3">
      <c r="A14" s="15" t="s">
        <v>242</v>
      </c>
      <c r="B14" s="15" t="s">
        <v>243</v>
      </c>
      <c r="C14" s="16">
        <v>2</v>
      </c>
    </row>
    <row r="15" ht="25" customHeight="1" spans="1:3">
      <c r="A15" s="13" t="s">
        <v>244</v>
      </c>
      <c r="B15" s="15" t="s">
        <v>245</v>
      </c>
      <c r="C15" s="16">
        <v>2</v>
      </c>
    </row>
    <row r="16" ht="25" customHeight="1" spans="1:3">
      <c r="A16" s="13" t="s">
        <v>21</v>
      </c>
      <c r="B16" s="15" t="s">
        <v>22</v>
      </c>
      <c r="C16" s="16">
        <v>2</v>
      </c>
    </row>
    <row r="17" ht="25" customHeight="1" spans="1:3">
      <c r="A17" s="13" t="s">
        <v>23</v>
      </c>
      <c r="B17" s="15" t="s">
        <v>24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1" t="s">
        <v>27</v>
      </c>
      <c r="B19" s="17" t="s">
        <v>246</v>
      </c>
      <c r="C19" s="17"/>
    </row>
    <row r="20" ht="25" customHeight="1" spans="1:3">
      <c r="A20" s="11" t="s">
        <v>28</v>
      </c>
      <c r="B20" s="12" t="s">
        <v>29</v>
      </c>
      <c r="C20" s="12"/>
    </row>
    <row r="21" ht="25" customHeight="1" spans="1:3">
      <c r="A21" s="11" t="s">
        <v>30</v>
      </c>
      <c r="B21" s="17" t="s">
        <v>31</v>
      </c>
      <c r="C21" s="17"/>
    </row>
    <row r="22" ht="25" customHeight="1" spans="1:3">
      <c r="A22" s="11" t="s">
        <v>32</v>
      </c>
      <c r="B22" s="12" t="s">
        <v>33</v>
      </c>
      <c r="C22" s="12"/>
    </row>
    <row r="23" ht="25" customHeight="1" spans="1:3">
      <c r="A23" s="18" t="s">
        <v>34</v>
      </c>
      <c r="B23" s="17" t="s">
        <v>291</v>
      </c>
      <c r="C23" s="17"/>
    </row>
    <row r="24" ht="25" customHeight="1" spans="1:3">
      <c r="A24" s="19" t="s">
        <v>36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292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62</v>
      </c>
      <c r="B10" s="15" t="s">
        <v>293</v>
      </c>
      <c r="C10" s="16">
        <v>6</v>
      </c>
    </row>
    <row r="11" ht="25" customHeight="1" spans="1:3">
      <c r="A11" s="15" t="s">
        <v>63</v>
      </c>
      <c r="B11" s="15" t="s">
        <v>294</v>
      </c>
      <c r="C11" s="16">
        <v>6</v>
      </c>
    </row>
    <row r="12" ht="25" customHeight="1" spans="1:3">
      <c r="A12" s="15" t="s">
        <v>161</v>
      </c>
      <c r="B12" s="15" t="s">
        <v>162</v>
      </c>
      <c r="C12" s="16">
        <v>4</v>
      </c>
    </row>
    <row r="13" ht="25" customHeight="1" spans="1:3">
      <c r="A13" s="15" t="s">
        <v>163</v>
      </c>
      <c r="B13" s="15" t="s">
        <v>164</v>
      </c>
      <c r="C13" s="16">
        <v>4</v>
      </c>
    </row>
    <row r="14" ht="25" customHeight="1" spans="1:3">
      <c r="A14" s="15" t="s">
        <v>74</v>
      </c>
      <c r="B14" s="15" t="s">
        <v>75</v>
      </c>
      <c r="C14" s="16">
        <v>4</v>
      </c>
    </row>
    <row r="15" ht="25" customHeight="1" spans="1:3">
      <c r="A15" s="13" t="s">
        <v>76</v>
      </c>
      <c r="B15" s="15" t="s">
        <v>77</v>
      </c>
      <c r="C15" s="16">
        <v>4</v>
      </c>
    </row>
    <row r="16" ht="25" customHeight="1" spans="1:3">
      <c r="A16" s="13" t="s">
        <v>21</v>
      </c>
      <c r="B16" s="15" t="s">
        <v>22</v>
      </c>
      <c r="C16" s="16">
        <v>4</v>
      </c>
    </row>
    <row r="17" ht="25" customHeight="1" spans="1:3">
      <c r="A17" s="11" t="s">
        <v>27</v>
      </c>
      <c r="B17" s="17" t="s">
        <v>295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296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297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70</v>
      </c>
      <c r="B10" s="15" t="s">
        <v>71</v>
      </c>
      <c r="C10" s="16">
        <v>3</v>
      </c>
    </row>
    <row r="11" ht="25" customHeight="1" spans="1:3">
      <c r="A11" s="15" t="s">
        <v>72</v>
      </c>
      <c r="B11" s="15" t="s">
        <v>73</v>
      </c>
      <c r="C11" s="16">
        <v>3</v>
      </c>
    </row>
    <row r="12" ht="25" customHeight="1" spans="1:3">
      <c r="A12" s="15" t="s">
        <v>161</v>
      </c>
      <c r="B12" s="15" t="s">
        <v>162</v>
      </c>
      <c r="C12" s="16">
        <v>2</v>
      </c>
    </row>
    <row r="13" ht="25" customHeight="1" spans="1:3">
      <c r="A13" s="15" t="s">
        <v>163</v>
      </c>
      <c r="B13" s="15" t="s">
        <v>164</v>
      </c>
      <c r="C13" s="16">
        <v>2</v>
      </c>
    </row>
    <row r="14" ht="25" customHeight="1" spans="1:3">
      <c r="A14" s="15" t="s">
        <v>74</v>
      </c>
      <c r="B14" s="15" t="s">
        <v>75</v>
      </c>
      <c r="C14" s="16">
        <v>5</v>
      </c>
    </row>
    <row r="15" ht="25" customHeight="1" spans="1:3">
      <c r="A15" s="13" t="s">
        <v>76</v>
      </c>
      <c r="B15" s="15" t="s">
        <v>77</v>
      </c>
      <c r="C15" s="16">
        <v>5</v>
      </c>
    </row>
    <row r="16" ht="25" customHeight="1" spans="1:3">
      <c r="A16" s="13" t="s">
        <v>21</v>
      </c>
      <c r="B16" s="15" t="s">
        <v>22</v>
      </c>
      <c r="C16" s="16">
        <v>5</v>
      </c>
    </row>
    <row r="17" ht="25" customHeight="1" spans="1:3">
      <c r="A17" s="11" t="s">
        <v>27</v>
      </c>
      <c r="B17" s="17" t="s">
        <v>165</v>
      </c>
      <c r="C17" s="17"/>
    </row>
    <row r="18" ht="25" customHeight="1" spans="1:3">
      <c r="A18" s="11" t="s">
        <v>28</v>
      </c>
      <c r="B18" s="12" t="s">
        <v>29</v>
      </c>
      <c r="C18" s="12"/>
    </row>
    <row r="19" ht="25" customHeight="1" spans="1:3">
      <c r="A19" s="11" t="s">
        <v>30</v>
      </c>
      <c r="B19" s="17" t="s">
        <v>31</v>
      </c>
      <c r="C19" s="17"/>
    </row>
    <row r="20" ht="25" customHeight="1" spans="1:3">
      <c r="A20" s="11" t="s">
        <v>32</v>
      </c>
      <c r="B20" s="12" t="s">
        <v>33</v>
      </c>
      <c r="C20" s="12"/>
    </row>
    <row r="21" ht="25" customHeight="1" spans="1:3">
      <c r="A21" s="18" t="s">
        <v>34</v>
      </c>
      <c r="B21" s="17" t="s">
        <v>298</v>
      </c>
      <c r="C21" s="17"/>
    </row>
    <row r="22" ht="25" customHeight="1" spans="1:3">
      <c r="A22" s="19" t="s">
        <v>36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6"/>
  <sheetViews>
    <sheetView view="pageBreakPreview" zoomScaleNormal="100" topLeftCell="A4" workbookViewId="0">
      <selection activeCell="A21" sqref="A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299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43</v>
      </c>
      <c r="B12" s="15" t="s">
        <v>44</v>
      </c>
      <c r="C12" s="16">
        <v>5</v>
      </c>
    </row>
    <row r="13" ht="25" customHeight="1" spans="1:3">
      <c r="A13" s="15" t="s">
        <v>45</v>
      </c>
      <c r="B13" s="15" t="s">
        <v>46</v>
      </c>
      <c r="C13" s="16">
        <v>5</v>
      </c>
    </row>
    <row r="14" ht="25" customHeight="1" spans="1:3">
      <c r="A14" s="15" t="s">
        <v>21</v>
      </c>
      <c r="B14" s="15" t="s">
        <v>22</v>
      </c>
      <c r="C14" s="16">
        <v>5</v>
      </c>
    </row>
    <row r="15" ht="25" customHeight="1" spans="1:3">
      <c r="A15" s="11" t="s">
        <v>27</v>
      </c>
      <c r="B15" s="17" t="s">
        <v>300</v>
      </c>
      <c r="C15" s="17"/>
    </row>
    <row r="16" ht="25" customHeight="1" spans="1:3">
      <c r="A16" s="11" t="s">
        <v>28</v>
      </c>
      <c r="B16" s="12" t="s">
        <v>29</v>
      </c>
      <c r="C16" s="12"/>
    </row>
    <row r="17" ht="25" customHeight="1" spans="1:3">
      <c r="A17" s="11" t="s">
        <v>30</v>
      </c>
      <c r="B17" s="17" t="s">
        <v>31</v>
      </c>
      <c r="C17" s="17"/>
    </row>
    <row r="18" ht="25" customHeight="1" spans="1:3">
      <c r="A18" s="11" t="s">
        <v>32</v>
      </c>
      <c r="B18" s="12" t="s">
        <v>33</v>
      </c>
      <c r="C18" s="12"/>
    </row>
    <row r="19" ht="25" customHeight="1" spans="1:3">
      <c r="A19" s="18" t="s">
        <v>34</v>
      </c>
      <c r="B19" s="17" t="s">
        <v>301</v>
      </c>
      <c r="C19" s="17"/>
    </row>
    <row r="20" ht="25" customHeight="1" spans="1:3">
      <c r="A20" s="19" t="s">
        <v>36</v>
      </c>
      <c r="B20" s="20"/>
      <c r="C20" s="21"/>
    </row>
    <row r="21" ht="146" customHeight="1" spans="1:3">
      <c r="A21" s="22" t="str">
        <f>_xlfn.DISPIMG("ID_58913C71E3164241A1CD2B9CBBBF3137",1)</f>
        <v>=DISPIMG("ID_58913C71E3164241A1CD2B9CBBBF3137",1)</v>
      </c>
      <c r="B21" s="23"/>
      <c r="C21" s="24"/>
    </row>
    <row r="26" spans="1:3">
      <c r="B26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5:C15"/>
    <mergeCell ref="B16:C16"/>
    <mergeCell ref="B17:C17"/>
    <mergeCell ref="B18:C18"/>
    <mergeCell ref="B19:C19"/>
    <mergeCell ref="A21:C21"/>
  </mergeCells>
  <pageMargins left="0.75" right="0.75" top="1" bottom="1" header="0.5" footer="0.5"/>
  <pageSetup paperSize="9" scale="93" orientation="portrait"/>
  <headerFooter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6"/>
  <sheetViews>
    <sheetView view="pageBreakPreview" zoomScaleNormal="100" topLeftCell="A4" workbookViewId="0">
      <selection activeCell="A21" sqref="A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302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43</v>
      </c>
      <c r="B12" s="15" t="s">
        <v>44</v>
      </c>
      <c r="C12" s="16">
        <v>5</v>
      </c>
    </row>
    <row r="13" ht="25" customHeight="1" spans="1:3">
      <c r="A13" s="15" t="s">
        <v>45</v>
      </c>
      <c r="B13" s="15" t="s">
        <v>46</v>
      </c>
      <c r="C13" s="16">
        <v>5</v>
      </c>
    </row>
    <row r="14" ht="25" customHeight="1" spans="1:3">
      <c r="A14" s="15" t="s">
        <v>21</v>
      </c>
      <c r="B14" s="15" t="s">
        <v>22</v>
      </c>
      <c r="C14" s="16">
        <v>5</v>
      </c>
    </row>
    <row r="15" ht="25" customHeight="1" spans="1:3">
      <c r="A15" s="11" t="s">
        <v>27</v>
      </c>
      <c r="B15" s="17" t="s">
        <v>300</v>
      </c>
      <c r="C15" s="17"/>
    </row>
    <row r="16" ht="25" customHeight="1" spans="1:3">
      <c r="A16" s="11" t="s">
        <v>28</v>
      </c>
      <c r="B16" s="12" t="s">
        <v>29</v>
      </c>
      <c r="C16" s="12"/>
    </row>
    <row r="17" ht="25" customHeight="1" spans="1:3">
      <c r="A17" s="11" t="s">
        <v>30</v>
      </c>
      <c r="B17" s="17" t="s">
        <v>31</v>
      </c>
      <c r="C17" s="17"/>
    </row>
    <row r="18" ht="25" customHeight="1" spans="1:3">
      <c r="A18" s="11" t="s">
        <v>32</v>
      </c>
      <c r="B18" s="12" t="s">
        <v>33</v>
      </c>
      <c r="C18" s="12"/>
    </row>
    <row r="19" ht="25" customHeight="1" spans="1:3">
      <c r="A19" s="18" t="s">
        <v>34</v>
      </c>
      <c r="B19" s="17" t="s">
        <v>303</v>
      </c>
      <c r="C19" s="17"/>
    </row>
    <row r="20" ht="25" customHeight="1" spans="1:3">
      <c r="A20" s="19" t="s">
        <v>36</v>
      </c>
      <c r="B20" s="20"/>
      <c r="C20" s="21"/>
    </row>
    <row r="21" ht="146" customHeight="1" spans="1:3">
      <c r="A21" s="22" t="str">
        <f>_xlfn.DISPIMG("ID_58913C71E3164241A1CD2B9CBBBF3137",1)</f>
        <v>=DISPIMG("ID_58913C71E3164241A1CD2B9CBBBF3137",1)</v>
      </c>
      <c r="B21" s="23"/>
      <c r="C21" s="24"/>
    </row>
    <row r="26" spans="1:3">
      <c r="B26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5:C15"/>
    <mergeCell ref="B16:C16"/>
    <mergeCell ref="B17:C17"/>
    <mergeCell ref="B18:C18"/>
    <mergeCell ref="B19:C19"/>
    <mergeCell ref="A21:C21"/>
  </mergeCells>
  <pageMargins left="0.75" right="0.75" top="1" bottom="1" header="0.5" footer="0.5"/>
  <pageSetup paperSize="9" scale="93" orientation="portrait"/>
  <headerFooter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6"/>
  <sheetViews>
    <sheetView view="pageBreakPreview" zoomScaleNormal="100" topLeftCell="A4" workbookViewId="0">
      <selection activeCell="A21" sqref="A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304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43</v>
      </c>
      <c r="B12" s="15" t="s">
        <v>44</v>
      </c>
      <c r="C12" s="16">
        <v>5</v>
      </c>
    </row>
    <row r="13" ht="25" customHeight="1" spans="1:3">
      <c r="A13" s="15" t="s">
        <v>45</v>
      </c>
      <c r="B13" s="15" t="s">
        <v>46</v>
      </c>
      <c r="C13" s="16">
        <v>5</v>
      </c>
    </row>
    <row r="14" ht="25" customHeight="1" spans="1:3">
      <c r="A14" s="15" t="s">
        <v>21</v>
      </c>
      <c r="B14" s="15" t="s">
        <v>22</v>
      </c>
      <c r="C14" s="16">
        <v>5</v>
      </c>
    </row>
    <row r="15" ht="25" customHeight="1" spans="1:3">
      <c r="A15" s="11" t="s">
        <v>27</v>
      </c>
      <c r="B15" s="17" t="s">
        <v>300</v>
      </c>
      <c r="C15" s="17"/>
    </row>
    <row r="16" ht="25" customHeight="1" spans="1:3">
      <c r="A16" s="11" t="s">
        <v>28</v>
      </c>
      <c r="B16" s="12" t="s">
        <v>29</v>
      </c>
      <c r="C16" s="12"/>
    </row>
    <row r="17" ht="25" customHeight="1" spans="1:3">
      <c r="A17" s="11" t="s">
        <v>30</v>
      </c>
      <c r="B17" s="17" t="s">
        <v>31</v>
      </c>
      <c r="C17" s="17"/>
    </row>
    <row r="18" ht="25" customHeight="1" spans="1:3">
      <c r="A18" s="11" t="s">
        <v>32</v>
      </c>
      <c r="B18" s="12" t="s">
        <v>33</v>
      </c>
      <c r="C18" s="12"/>
    </row>
    <row r="19" ht="25" customHeight="1" spans="1:3">
      <c r="A19" s="18" t="s">
        <v>34</v>
      </c>
      <c r="B19" s="17" t="s">
        <v>305</v>
      </c>
      <c r="C19" s="17"/>
    </row>
    <row r="20" ht="25" customHeight="1" spans="1:3">
      <c r="A20" s="19" t="s">
        <v>36</v>
      </c>
      <c r="B20" s="20"/>
      <c r="C20" s="21"/>
    </row>
    <row r="21" ht="146" customHeight="1" spans="1:3">
      <c r="A21" s="22" t="str">
        <f>_xlfn.DISPIMG("ID_58913C71E3164241A1CD2B9CBBBF3137",1)</f>
        <v>=DISPIMG("ID_58913C71E3164241A1CD2B9CBBBF3137",1)</v>
      </c>
      <c r="B21" s="23"/>
      <c r="C21" s="24"/>
    </row>
    <row r="26" spans="1:3">
      <c r="B26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5:C15"/>
    <mergeCell ref="B16:C16"/>
    <mergeCell ref="B17:C17"/>
    <mergeCell ref="B18:C18"/>
    <mergeCell ref="B19:C19"/>
    <mergeCell ref="A21:C21"/>
  </mergeCells>
  <pageMargins left="0.75" right="0.75" top="1" bottom="1" header="0.5" footer="0.5"/>
  <pageSetup paperSize="9" scale="93" orientation="portrait"/>
  <headerFooter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6"/>
  <sheetViews>
    <sheetView view="pageBreakPreview" zoomScaleNormal="100" topLeftCell="A4" workbookViewId="0">
      <selection activeCell="A21" sqref="A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306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43</v>
      </c>
      <c r="B12" s="15" t="s">
        <v>44</v>
      </c>
      <c r="C12" s="16">
        <v>5</v>
      </c>
    </row>
    <row r="13" ht="25" customHeight="1" spans="1:3">
      <c r="A13" s="15" t="s">
        <v>45</v>
      </c>
      <c r="B13" s="15" t="s">
        <v>46</v>
      </c>
      <c r="C13" s="16">
        <v>5</v>
      </c>
    </row>
    <row r="14" ht="25" customHeight="1" spans="1:3">
      <c r="A14" s="15" t="s">
        <v>21</v>
      </c>
      <c r="B14" s="15" t="s">
        <v>22</v>
      </c>
      <c r="C14" s="16">
        <v>5</v>
      </c>
    </row>
    <row r="15" ht="25" customHeight="1" spans="1:3">
      <c r="A15" s="11" t="s">
        <v>27</v>
      </c>
      <c r="B15" s="17" t="s">
        <v>300</v>
      </c>
      <c r="C15" s="17"/>
    </row>
    <row r="16" ht="25" customHeight="1" spans="1:3">
      <c r="A16" s="11" t="s">
        <v>28</v>
      </c>
      <c r="B16" s="12" t="s">
        <v>29</v>
      </c>
      <c r="C16" s="12"/>
    </row>
    <row r="17" ht="25" customHeight="1" spans="1:3">
      <c r="A17" s="11" t="s">
        <v>30</v>
      </c>
      <c r="B17" s="17" t="s">
        <v>31</v>
      </c>
      <c r="C17" s="17"/>
    </row>
    <row r="18" ht="25" customHeight="1" spans="1:3">
      <c r="A18" s="11" t="s">
        <v>32</v>
      </c>
      <c r="B18" s="12" t="s">
        <v>33</v>
      </c>
      <c r="C18" s="12"/>
    </row>
    <row r="19" ht="25" customHeight="1" spans="1:3">
      <c r="A19" s="18" t="s">
        <v>34</v>
      </c>
      <c r="B19" s="17" t="s">
        <v>307</v>
      </c>
      <c r="C19" s="17"/>
    </row>
    <row r="20" ht="25" customHeight="1" spans="1:3">
      <c r="A20" s="19" t="s">
        <v>36</v>
      </c>
      <c r="B20" s="20"/>
      <c r="C20" s="21"/>
    </row>
    <row r="21" ht="146" customHeight="1" spans="1:3">
      <c r="A21" s="22" t="str">
        <f>_xlfn.DISPIMG("ID_58913C71E3164241A1CD2B9CBBBF3137",1)</f>
        <v>=DISPIMG("ID_58913C71E3164241A1CD2B9CBBBF3137",1)</v>
      </c>
      <c r="B21" s="23"/>
      <c r="C21" s="24"/>
    </row>
    <row r="26" spans="1:3">
      <c r="B26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5:C15"/>
    <mergeCell ref="B16:C16"/>
    <mergeCell ref="B17:C17"/>
    <mergeCell ref="B18:C18"/>
    <mergeCell ref="B19:C19"/>
    <mergeCell ref="A21:C21"/>
  </mergeCells>
  <pageMargins left="0.75" right="0.75" top="1" bottom="1" header="0.5" footer="0.5"/>
  <pageSetup paperSize="9" scale="93" orientation="portrait"/>
  <headerFooter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7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308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185</v>
      </c>
      <c r="B10" s="15" t="e">
        <f>VLOOKUP(A10,[2]Sheet1!$H:$I,2,0)</f>
        <v>#N/A</v>
      </c>
      <c r="C10" s="16">
        <v>1</v>
      </c>
    </row>
    <row r="11" ht="25" customHeight="1" spans="1:3">
      <c r="A11" s="15" t="s">
        <v>187</v>
      </c>
      <c r="B11" s="15" t="e">
        <f>VLOOKUP(A11,[2]Sheet1!$H:$I,2,0)</f>
        <v>#N/A</v>
      </c>
      <c r="C11" s="16">
        <v>1</v>
      </c>
    </row>
    <row r="12" ht="25" customHeight="1" spans="1:3">
      <c r="A12" s="15" t="s">
        <v>62</v>
      </c>
      <c r="B12" s="15" t="e">
        <f>VLOOKUP(A12,[2]Sheet1!$H:$I,2,0)</f>
        <v>#N/A</v>
      </c>
      <c r="C12" s="16">
        <v>3</v>
      </c>
    </row>
    <row r="13" ht="25" customHeight="1" spans="1:3">
      <c r="A13" s="15" t="s">
        <v>63</v>
      </c>
      <c r="B13" s="15" t="e">
        <f>VLOOKUP(A13,[2]Sheet1!$H:$I,2,0)</f>
        <v>#N/A</v>
      </c>
      <c r="C13" s="16">
        <v>3</v>
      </c>
    </row>
    <row r="14" ht="25" customHeight="1" spans="1:3">
      <c r="A14" s="15" t="s">
        <v>309</v>
      </c>
      <c r="B14" s="15" t="e">
        <f>VLOOKUP(A14,[2]Sheet1!$H:$I,2,0)</f>
        <v>#N/A</v>
      </c>
      <c r="C14" s="16">
        <v>28</v>
      </c>
    </row>
    <row r="15" ht="25" customHeight="1" spans="1:3">
      <c r="A15" s="13" t="s">
        <v>310</v>
      </c>
      <c r="B15" s="15" t="e">
        <f>VLOOKUP(A15,[2]Sheet1!$H:$I,2,0)</f>
        <v>#N/A</v>
      </c>
      <c r="C15" s="16">
        <v>41</v>
      </c>
    </row>
    <row r="16" ht="25" customHeight="1" spans="1:3">
      <c r="A16" s="11" t="s">
        <v>27</v>
      </c>
      <c r="B16" s="17">
        <v>364.67</v>
      </c>
      <c r="C16" s="17"/>
    </row>
    <row r="17" ht="25" customHeight="1" spans="1:3">
      <c r="A17" s="11" t="s">
        <v>28</v>
      </c>
      <c r="B17" s="12" t="s">
        <v>311</v>
      </c>
      <c r="C17" s="12"/>
    </row>
    <row r="18" ht="25" customHeight="1" spans="1:3">
      <c r="A18" s="11" t="s">
        <v>30</v>
      </c>
      <c r="B18" s="17" t="s">
        <v>31</v>
      </c>
      <c r="C18" s="17"/>
    </row>
    <row r="19" ht="25" customHeight="1" spans="1:3">
      <c r="A19" s="11" t="s">
        <v>32</v>
      </c>
      <c r="B19" s="12" t="s">
        <v>33</v>
      </c>
      <c r="C19" s="12"/>
    </row>
    <row r="20" ht="25" customHeight="1" spans="1:3">
      <c r="A20" s="18" t="s">
        <v>34</v>
      </c>
      <c r="B20" s="17" t="s">
        <v>312</v>
      </c>
      <c r="C20" s="17"/>
    </row>
    <row r="21" ht="25" customHeight="1" spans="1:3">
      <c r="A21" s="19" t="s">
        <v>36</v>
      </c>
      <c r="B21" s="20"/>
      <c r="C21" s="21"/>
    </row>
    <row r="22" ht="146" customHeight="1" spans="1:3">
      <c r="A22" s="22" t="str">
        <f>_xlfn.DISPIMG("ID_58913C71E3164241A1CD2B9CBBBF3137",1)</f>
        <v>=DISPIMG("ID_58913C71E3164241A1CD2B9CBBBF3137",1)</v>
      </c>
      <c r="B22" s="23"/>
      <c r="C22" s="24"/>
    </row>
    <row r="27" spans="1:3">
      <c r="B27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20:C20"/>
    <mergeCell ref="A22:C22"/>
  </mergeCells>
  <pageMargins left="0.75" right="0.75" top="1" bottom="1" header="0.5" footer="0.5"/>
  <pageSetup paperSize="9" scale="93" orientation="portrait"/>
  <headerFooter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view="pageBreakPreview" zoomScaleNormal="100" topLeftCell="A4" workbookViewId="0">
      <selection activeCell="B12" sqref="B12:C1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313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e">
        <f>VLOOKUP(A10,[2]Sheet1!$H:$I,2,0)</f>
        <v>#N/A</v>
      </c>
      <c r="C10" s="16">
        <v>48</v>
      </c>
    </row>
    <row r="11" ht="25" customHeight="1" spans="1:3">
      <c r="A11" s="13" t="s">
        <v>310</v>
      </c>
      <c r="B11" s="15" t="e">
        <f>VLOOKUP(A11,[2]Sheet1!$H:$I,2,0)</f>
        <v>#N/A</v>
      </c>
      <c r="C11" s="16">
        <v>64</v>
      </c>
    </row>
    <row r="12" ht="25" customHeight="1" spans="1:3">
      <c r="A12" s="11" t="s">
        <v>27</v>
      </c>
      <c r="B12" s="17">
        <v>349.32</v>
      </c>
      <c r="C12" s="17"/>
    </row>
    <row r="13" ht="25" customHeight="1" spans="1:3">
      <c r="A13" s="11" t="s">
        <v>28</v>
      </c>
      <c r="B13" s="12" t="s">
        <v>29</v>
      </c>
      <c r="C13" s="12"/>
    </row>
    <row r="14" ht="25" customHeight="1" spans="1:3">
      <c r="A14" s="11" t="s">
        <v>30</v>
      </c>
      <c r="B14" s="17" t="s">
        <v>31</v>
      </c>
      <c r="C14" s="17"/>
    </row>
    <row r="15" ht="25" customHeight="1" spans="1:3">
      <c r="A15" s="11" t="s">
        <v>32</v>
      </c>
      <c r="B15" s="12" t="s">
        <v>33</v>
      </c>
      <c r="C15" s="12"/>
    </row>
    <row r="16" ht="45" customHeight="1" spans="1:3">
      <c r="A16" s="18" t="s">
        <v>34</v>
      </c>
      <c r="B16" s="17" t="s">
        <v>314</v>
      </c>
      <c r="C16" s="17"/>
    </row>
    <row r="17" ht="25" customHeight="1" spans="1:3">
      <c r="A17" s="19" t="s">
        <v>36</v>
      </c>
      <c r="B17" s="20"/>
      <c r="C17" s="21"/>
    </row>
    <row r="18" ht="146" customHeight="1" spans="1:3">
      <c r="A18" s="22" t="str">
        <f>_xlfn.DISPIMG("ID_58913C71E3164241A1CD2B9CBBBF3137",1)</f>
        <v>=DISPIMG("ID_58913C71E3164241A1CD2B9CBBBF3137",1)</v>
      </c>
      <c r="B18" s="23"/>
      <c r="C18" s="24"/>
    </row>
    <row r="23" spans="1:3">
      <c r="B23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2:C12"/>
    <mergeCell ref="B13:C13"/>
    <mergeCell ref="B14:C14"/>
    <mergeCell ref="B15:C15"/>
    <mergeCell ref="B16:C16"/>
    <mergeCell ref="A18:C18"/>
  </mergeCells>
  <pageMargins left="0.75" right="0.75" top="1" bottom="1" header="0.5" footer="0.5"/>
  <pageSetup paperSize="9" scale="93" orientation="portrait"/>
  <headerFooter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315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e">
        <f>VLOOKUP(A10,[2]Sheet1!$H:$I,2,0)</f>
        <v>#N/A</v>
      </c>
      <c r="C10" s="16">
        <v>32</v>
      </c>
    </row>
    <row r="11" ht="25" customHeight="1" spans="1:3">
      <c r="A11" s="13" t="s">
        <v>310</v>
      </c>
      <c r="B11" s="15" t="e">
        <f>VLOOKUP(A11,[2]Sheet1!$H:$I,2,0)</f>
        <v>#N/A</v>
      </c>
      <c r="C11" s="16">
        <v>64</v>
      </c>
    </row>
    <row r="12" ht="25" customHeight="1" spans="1:3">
      <c r="A12" s="11" t="s">
        <v>27</v>
      </c>
      <c r="B12" s="17" t="s">
        <v>316</v>
      </c>
      <c r="C12" s="17"/>
    </row>
    <row r="13" ht="25" customHeight="1" spans="1:3">
      <c r="A13" s="11" t="s">
        <v>28</v>
      </c>
      <c r="B13" s="12" t="s">
        <v>29</v>
      </c>
      <c r="C13" s="12"/>
    </row>
    <row r="14" ht="25" customHeight="1" spans="1:3">
      <c r="A14" s="11" t="s">
        <v>30</v>
      </c>
      <c r="B14" s="17" t="s">
        <v>31</v>
      </c>
      <c r="C14" s="17"/>
    </row>
    <row r="15" ht="25" customHeight="1" spans="1:3">
      <c r="A15" s="11" t="s">
        <v>32</v>
      </c>
      <c r="B15" s="12" t="s">
        <v>33</v>
      </c>
      <c r="C15" s="12"/>
    </row>
    <row r="16" ht="45" customHeight="1" spans="1:3">
      <c r="A16" s="18" t="s">
        <v>34</v>
      </c>
      <c r="B16" s="17" t="s">
        <v>317</v>
      </c>
      <c r="C16" s="17"/>
    </row>
    <row r="17" ht="25" customHeight="1" spans="1:3">
      <c r="A17" s="19" t="s">
        <v>36</v>
      </c>
      <c r="B17" s="20"/>
      <c r="C17" s="21"/>
    </row>
    <row r="18" ht="146" customHeight="1" spans="1:3">
      <c r="A18" s="22" t="str">
        <f>_xlfn.DISPIMG("ID_58913C71E3164241A1CD2B9CBBBF3137",1)</f>
        <v>=DISPIMG("ID_58913C71E3164241A1CD2B9CBBBF3137",1)</v>
      </c>
      <c r="B18" s="23"/>
      <c r="C18" s="24"/>
    </row>
    <row r="23" spans="1:3">
      <c r="B23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2:C12"/>
    <mergeCell ref="B13:C13"/>
    <mergeCell ref="B14:C14"/>
    <mergeCell ref="B15:C15"/>
    <mergeCell ref="B16:C16"/>
    <mergeCell ref="A18:C18"/>
  </mergeCells>
  <pageMargins left="0.75" right="0.75" top="1" bottom="1" header="0.5" footer="0.5"/>
  <pageSetup paperSize="9" scale="93" orientation="portrait"/>
  <headerFooter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318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e">
        <f>VLOOKUP(A10,[2]Sheet1!$H:$I,2,0)</f>
        <v>#N/A</v>
      </c>
      <c r="C10" s="16">
        <v>40</v>
      </c>
    </row>
    <row r="11" ht="25" customHeight="1" spans="1:3">
      <c r="A11" s="13" t="s">
        <v>310</v>
      </c>
      <c r="B11" s="15" t="e">
        <f>VLOOKUP(A11,[2]Sheet1!$H:$I,2,0)</f>
        <v>#N/A</v>
      </c>
      <c r="C11" s="16">
        <v>64</v>
      </c>
    </row>
    <row r="12" ht="25" customHeight="1" spans="1:3">
      <c r="A12" s="11" t="s">
        <v>27</v>
      </c>
      <c r="B12" s="17" t="s">
        <v>319</v>
      </c>
      <c r="C12" s="17"/>
    </row>
    <row r="13" ht="25" customHeight="1" spans="1:3">
      <c r="A13" s="11" t="s">
        <v>28</v>
      </c>
      <c r="B13" s="12" t="s">
        <v>29</v>
      </c>
      <c r="C13" s="12"/>
    </row>
    <row r="14" ht="25" customHeight="1" spans="1:3">
      <c r="A14" s="11" t="s">
        <v>30</v>
      </c>
      <c r="B14" s="17" t="s">
        <v>31</v>
      </c>
      <c r="C14" s="17"/>
    </row>
    <row r="15" ht="25" customHeight="1" spans="1:3">
      <c r="A15" s="11" t="s">
        <v>32</v>
      </c>
      <c r="B15" s="12" t="s">
        <v>33</v>
      </c>
      <c r="C15" s="12"/>
    </row>
    <row r="16" ht="45" customHeight="1" spans="1:3">
      <c r="A16" s="18" t="s">
        <v>34</v>
      </c>
      <c r="B16" s="17" t="s">
        <v>320</v>
      </c>
      <c r="C16" s="17"/>
    </row>
    <row r="17" ht="25" customHeight="1" spans="1:3">
      <c r="A17" s="19" t="s">
        <v>36</v>
      </c>
      <c r="B17" s="20"/>
      <c r="C17" s="21"/>
    </row>
    <row r="18" ht="146" customHeight="1" spans="1:3">
      <c r="A18" s="22" t="str">
        <f>_xlfn.DISPIMG("ID_58913C71E3164241A1CD2B9CBBBF3137",1)</f>
        <v>=DISPIMG("ID_58913C71E3164241A1CD2B9CBBBF3137",1)</v>
      </c>
      <c r="B18" s="23"/>
      <c r="C18" s="24"/>
    </row>
    <row r="23" spans="1:3">
      <c r="B23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2:C12"/>
    <mergeCell ref="B13:C13"/>
    <mergeCell ref="B14:C14"/>
    <mergeCell ref="B15:C15"/>
    <mergeCell ref="B16:C16"/>
    <mergeCell ref="A18:C18"/>
  </mergeCells>
  <pageMargins left="0.75" right="0.75" top="1" bottom="1" header="0.5" footer="0.5"/>
  <pageSetup paperSize="9" scale="93" orientation="portrait"/>
  <headerFooter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5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321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s">
        <v>322</v>
      </c>
      <c r="C10" s="16">
        <v>24</v>
      </c>
    </row>
    <row r="11" ht="25" customHeight="1" spans="1:3">
      <c r="A11" s="13" t="s">
        <v>310</v>
      </c>
      <c r="B11" s="15" t="s">
        <v>323</v>
      </c>
      <c r="C11" s="16">
        <v>46</v>
      </c>
    </row>
    <row r="12" ht="25" customHeight="1" spans="1:3">
      <c r="A12" s="13" t="s">
        <v>324</v>
      </c>
      <c r="B12" s="15" t="s">
        <v>325</v>
      </c>
      <c r="C12" s="16">
        <v>13</v>
      </c>
    </row>
    <row r="13" ht="25" customHeight="1" spans="1:3">
      <c r="A13" s="13" t="s">
        <v>326</v>
      </c>
      <c r="B13" s="15" t="s">
        <v>327</v>
      </c>
      <c r="C13" s="16">
        <v>2</v>
      </c>
    </row>
    <row r="14" ht="25" customHeight="1" spans="1:3">
      <c r="A14" s="11" t="s">
        <v>27</v>
      </c>
      <c r="B14" s="17" t="s">
        <v>328</v>
      </c>
      <c r="C14" s="17"/>
    </row>
    <row r="15" ht="25" customHeight="1" spans="1:3">
      <c r="A15" s="11" t="s">
        <v>28</v>
      </c>
      <c r="B15" s="12" t="s">
        <v>29</v>
      </c>
      <c r="C15" s="12"/>
    </row>
    <row r="16" ht="25" customHeight="1" spans="1:3">
      <c r="A16" s="11" t="s">
        <v>30</v>
      </c>
      <c r="B16" s="17" t="s">
        <v>31</v>
      </c>
      <c r="C16" s="17"/>
    </row>
    <row r="17" ht="25" customHeight="1" spans="1:3">
      <c r="A17" s="11" t="s">
        <v>32</v>
      </c>
      <c r="B17" s="12" t="s">
        <v>33</v>
      </c>
      <c r="C17" s="12"/>
    </row>
    <row r="18" ht="45" customHeight="1" spans="1:3">
      <c r="A18" s="18" t="s">
        <v>34</v>
      </c>
      <c r="B18" s="17" t="s">
        <v>329</v>
      </c>
      <c r="C18" s="17"/>
    </row>
    <row r="19" ht="25" customHeight="1" spans="1:3">
      <c r="A19" s="19" t="s">
        <v>36</v>
      </c>
      <c r="B19" s="20"/>
      <c r="C19" s="21"/>
    </row>
    <row r="20" ht="146" customHeight="1" spans="1:3">
      <c r="A20" s="22" t="str">
        <f>_xlfn.DISPIMG("ID_58913C71E3164241A1CD2B9CBBBF3137",1)</f>
        <v>=DISPIMG("ID_58913C71E3164241A1CD2B9CBBBF3137",1)</v>
      </c>
      <c r="B20" s="23"/>
      <c r="C20" s="24"/>
    </row>
    <row r="25" spans="1:3">
      <c r="B25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4:C14"/>
    <mergeCell ref="B15:C15"/>
    <mergeCell ref="B16:C16"/>
    <mergeCell ref="B17:C17"/>
    <mergeCell ref="B18:C18"/>
    <mergeCell ref="A20:C20"/>
  </mergeCells>
  <pageMargins left="0.75" right="0.75" top="1" bottom="1" header="0.5" footer="0.5"/>
  <pageSetup paperSize="9" scale="93" orientation="portrait"/>
  <headerFooter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4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330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s">
        <v>322</v>
      </c>
      <c r="C10" s="16">
        <v>24</v>
      </c>
    </row>
    <row r="11" ht="25" customHeight="1" spans="1:3">
      <c r="A11" s="13" t="s">
        <v>310</v>
      </c>
      <c r="B11" s="15" t="s">
        <v>323</v>
      </c>
      <c r="C11" s="16">
        <v>48</v>
      </c>
    </row>
    <row r="12" ht="25" customHeight="1" spans="1:3">
      <c r="A12" s="13" t="s">
        <v>324</v>
      </c>
      <c r="B12" s="15" t="s">
        <v>325</v>
      </c>
      <c r="C12" s="16">
        <v>18</v>
      </c>
    </row>
    <row r="13" ht="25" customHeight="1" spans="1:3">
      <c r="A13" s="11" t="s">
        <v>27</v>
      </c>
      <c r="B13" s="17" t="s">
        <v>331</v>
      </c>
      <c r="C13" s="17"/>
    </row>
    <row r="14" ht="25" customHeight="1" spans="1:3">
      <c r="A14" s="11" t="s">
        <v>28</v>
      </c>
      <c r="B14" s="12" t="s">
        <v>29</v>
      </c>
      <c r="C14" s="12"/>
    </row>
    <row r="15" ht="25" customHeight="1" spans="1:3">
      <c r="A15" s="11" t="s">
        <v>30</v>
      </c>
      <c r="B15" s="17" t="s">
        <v>31</v>
      </c>
      <c r="C15" s="17"/>
    </row>
    <row r="16" ht="25" customHeight="1" spans="1:3">
      <c r="A16" s="11" t="s">
        <v>32</v>
      </c>
      <c r="B16" s="12" t="s">
        <v>33</v>
      </c>
      <c r="C16" s="12"/>
    </row>
    <row r="17" ht="45" customHeight="1" spans="1:3">
      <c r="A17" s="18" t="s">
        <v>34</v>
      </c>
      <c r="B17" s="17" t="s">
        <v>332</v>
      </c>
      <c r="C17" s="17"/>
    </row>
    <row r="18" ht="25" customHeight="1" spans="1:3">
      <c r="A18" s="19" t="s">
        <v>36</v>
      </c>
      <c r="B18" s="20"/>
      <c r="C18" s="21"/>
    </row>
    <row r="19" ht="146" customHeight="1" spans="1:3">
      <c r="A19" s="22" t="str">
        <f>_xlfn.DISPIMG("ID_58913C71E3164241A1CD2B9CBBBF3137",1)</f>
        <v>=DISPIMG("ID_58913C71E3164241A1CD2B9CBBBF3137",1)</v>
      </c>
      <c r="B19" s="23"/>
      <c r="C19" s="24"/>
    </row>
    <row r="24" spans="1:3">
      <c r="B24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3:C13"/>
    <mergeCell ref="B14:C14"/>
    <mergeCell ref="B15:C15"/>
    <mergeCell ref="B16:C16"/>
    <mergeCell ref="B17:C17"/>
    <mergeCell ref="A19:C19"/>
  </mergeCells>
  <pageMargins left="0.75" right="0.75" top="1" bottom="1" header="0.5" footer="0.5"/>
  <pageSetup paperSize="9" scale="93" orientation="portrait"/>
  <headerFooter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333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s">
        <v>322</v>
      </c>
      <c r="C10" s="16">
        <v>36</v>
      </c>
    </row>
    <row r="11" ht="25" customHeight="1" spans="1:3">
      <c r="A11" s="13" t="s">
        <v>310</v>
      </c>
      <c r="B11" s="15" t="s">
        <v>323</v>
      </c>
      <c r="C11" s="16">
        <v>60</v>
      </c>
    </row>
    <row r="12" ht="25" customHeight="1" spans="1:3">
      <c r="A12" s="11" t="s">
        <v>27</v>
      </c>
      <c r="B12" s="17" t="s">
        <v>334</v>
      </c>
      <c r="C12" s="17"/>
    </row>
    <row r="13" ht="25" customHeight="1" spans="1:3">
      <c r="A13" s="11" t="s">
        <v>28</v>
      </c>
      <c r="B13" s="12" t="s">
        <v>29</v>
      </c>
      <c r="C13" s="12"/>
    </row>
    <row r="14" ht="25" customHeight="1" spans="1:3">
      <c r="A14" s="11" t="s">
        <v>30</v>
      </c>
      <c r="B14" s="17" t="s">
        <v>31</v>
      </c>
      <c r="C14" s="17"/>
    </row>
    <row r="15" ht="25" customHeight="1" spans="1:3">
      <c r="A15" s="11" t="s">
        <v>32</v>
      </c>
      <c r="B15" s="12" t="s">
        <v>33</v>
      </c>
      <c r="C15" s="12"/>
    </row>
    <row r="16" ht="45" customHeight="1" spans="1:3">
      <c r="A16" s="18" t="s">
        <v>34</v>
      </c>
      <c r="B16" s="17" t="s">
        <v>335</v>
      </c>
      <c r="C16" s="17"/>
    </row>
    <row r="17" ht="25" customHeight="1" spans="1:3">
      <c r="A17" s="19" t="s">
        <v>36</v>
      </c>
      <c r="B17" s="20"/>
      <c r="C17" s="21"/>
    </row>
    <row r="18" ht="146" customHeight="1" spans="1:3">
      <c r="A18" s="22" t="str">
        <f>_xlfn.DISPIMG("ID_58913C71E3164241A1CD2B9CBBBF3137",1)</f>
        <v>=DISPIMG("ID_58913C71E3164241A1CD2B9CBBBF3137",1)</v>
      </c>
      <c r="B18" s="23"/>
      <c r="C18" s="24"/>
    </row>
    <row r="23" spans="1:3">
      <c r="B23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2:C12"/>
    <mergeCell ref="B13:C13"/>
    <mergeCell ref="B14:C14"/>
    <mergeCell ref="B15:C15"/>
    <mergeCell ref="B16:C16"/>
    <mergeCell ref="A18:C18"/>
  </mergeCells>
  <pageMargins left="0.75" right="0.75" top="1" bottom="1" header="0.5" footer="0.5"/>
  <pageSetup paperSize="9" scale="93" orientation="portrait"/>
  <headerFooter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view="pageBreakPreview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336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s">
        <v>322</v>
      </c>
      <c r="C10" s="16">
        <v>40</v>
      </c>
    </row>
    <row r="11" ht="25" customHeight="1" spans="1:3">
      <c r="A11" s="13" t="s">
        <v>310</v>
      </c>
      <c r="B11" s="15" t="s">
        <v>323</v>
      </c>
      <c r="C11" s="16">
        <v>52</v>
      </c>
    </row>
    <row r="12" ht="25" customHeight="1" spans="1:3">
      <c r="A12" s="11" t="s">
        <v>27</v>
      </c>
      <c r="B12" s="17" t="s">
        <v>337</v>
      </c>
      <c r="C12" s="17"/>
    </row>
    <row r="13" ht="25" customHeight="1" spans="1:3">
      <c r="A13" s="11" t="s">
        <v>28</v>
      </c>
      <c r="B13" s="12" t="s">
        <v>29</v>
      </c>
      <c r="C13" s="12"/>
    </row>
    <row r="14" ht="25" customHeight="1" spans="1:3">
      <c r="A14" s="11" t="s">
        <v>30</v>
      </c>
      <c r="B14" s="17" t="s">
        <v>31</v>
      </c>
      <c r="C14" s="17"/>
    </row>
    <row r="15" ht="25" customHeight="1" spans="1:3">
      <c r="A15" s="11" t="s">
        <v>32</v>
      </c>
      <c r="B15" s="12" t="s">
        <v>33</v>
      </c>
      <c r="C15" s="12"/>
    </row>
    <row r="16" ht="45" customHeight="1" spans="1:3">
      <c r="A16" s="18" t="s">
        <v>34</v>
      </c>
      <c r="B16" s="17" t="s">
        <v>338</v>
      </c>
      <c r="C16" s="17"/>
    </row>
    <row r="17" ht="25" customHeight="1" spans="1:3">
      <c r="A17" s="19" t="s">
        <v>36</v>
      </c>
      <c r="B17" s="20"/>
      <c r="C17" s="21"/>
    </row>
    <row r="18" ht="146" customHeight="1" spans="1:3">
      <c r="A18" s="22" t="str">
        <f>_xlfn.DISPIMG("ID_58913C71E3164241A1CD2B9CBBBF3137",1)</f>
        <v>=DISPIMG("ID_58913C71E3164241A1CD2B9CBBBF3137",1)</v>
      </c>
      <c r="B18" s="23"/>
      <c r="C18" s="24"/>
    </row>
    <row r="23" spans="1:3">
      <c r="B23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2:C12"/>
    <mergeCell ref="B13:C13"/>
    <mergeCell ref="B14:C14"/>
    <mergeCell ref="B15:C15"/>
    <mergeCell ref="B16:C16"/>
    <mergeCell ref="A18:C18"/>
  </mergeCells>
  <pageMargins left="0.75" right="0.75" top="1" bottom="1" header="0.5" footer="0.5"/>
  <pageSetup paperSize="9" scale="93" orientation="portrait"/>
  <headerFooter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5"/>
  <sheetViews>
    <sheetView view="pageBreakPreview" zoomScaleNormal="100" workbookViewId="0">
      <selection activeCell="G19" sqref="G19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339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309</v>
      </c>
      <c r="B10" s="15" t="s">
        <v>322</v>
      </c>
      <c r="C10" s="16">
        <v>17</v>
      </c>
    </row>
    <row r="11" ht="25" customHeight="1" spans="1:3">
      <c r="A11" s="13" t="s">
        <v>310</v>
      </c>
      <c r="B11" s="15" t="s">
        <v>323</v>
      </c>
      <c r="C11" s="16">
        <v>34</v>
      </c>
    </row>
    <row r="12" ht="25" customHeight="1" spans="1:3">
      <c r="A12" s="13" t="s">
        <v>324</v>
      </c>
      <c r="B12" s="15" t="s">
        <v>325</v>
      </c>
      <c r="C12" s="16">
        <v>24</v>
      </c>
    </row>
    <row r="13" ht="25" customHeight="1" spans="1:3">
      <c r="A13" s="13" t="s">
        <v>326</v>
      </c>
      <c r="B13" s="15" t="s">
        <v>327</v>
      </c>
      <c r="C13" s="16">
        <v>1</v>
      </c>
    </row>
    <row r="14" ht="25" customHeight="1" spans="1:3">
      <c r="A14" s="11" t="s">
        <v>27</v>
      </c>
      <c r="B14" s="17" t="s">
        <v>340</v>
      </c>
      <c r="C14" s="17"/>
    </row>
    <row r="15" ht="25" customHeight="1" spans="1:3">
      <c r="A15" s="11" t="s">
        <v>28</v>
      </c>
      <c r="B15" s="12" t="s">
        <v>29</v>
      </c>
      <c r="C15" s="12"/>
    </row>
    <row r="16" ht="25" customHeight="1" spans="1:3">
      <c r="A16" s="11" t="s">
        <v>30</v>
      </c>
      <c r="B16" s="17" t="s">
        <v>31</v>
      </c>
      <c r="C16" s="17"/>
    </row>
    <row r="17" ht="25" customHeight="1" spans="1:3">
      <c r="A17" s="11" t="s">
        <v>32</v>
      </c>
      <c r="B17" s="12" t="s">
        <v>33</v>
      </c>
      <c r="C17" s="12"/>
    </row>
    <row r="18" ht="45" customHeight="1" spans="1:3">
      <c r="A18" s="18" t="s">
        <v>34</v>
      </c>
      <c r="B18" s="17" t="s">
        <v>341</v>
      </c>
      <c r="C18" s="17"/>
    </row>
    <row r="19" ht="25" customHeight="1" spans="1:3">
      <c r="A19" s="19" t="s">
        <v>36</v>
      </c>
      <c r="B19" s="20"/>
      <c r="C19" s="21"/>
    </row>
    <row r="20" ht="146" customHeight="1" spans="1:3">
      <c r="A20" s="22" t="str">
        <f>_xlfn.DISPIMG("ID_58913C71E3164241A1CD2B9CBBBF3137",1)</f>
        <v>=DISPIMG("ID_58913C71E3164241A1CD2B9CBBBF3137",1)</v>
      </c>
      <c r="B20" s="23"/>
      <c r="C20" s="24"/>
    </row>
    <row r="25" spans="1:3">
      <c r="B25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4:C14"/>
    <mergeCell ref="B15:C15"/>
    <mergeCell ref="B16:C16"/>
    <mergeCell ref="B17:C17"/>
    <mergeCell ref="B18:C18"/>
    <mergeCell ref="A20:C20"/>
  </mergeCells>
  <pageMargins left="0.75" right="0.75" top="1" bottom="1" header="0.5" footer="0.5"/>
  <pageSetup paperSize="9" scale="9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114</vt:i4>
      </vt:variant>
    </vt:vector>
  </HeadingPairs>
  <TitlesOfParts>
    <vt:vector size="1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1 (2)</vt:lpstr>
      <vt:lpstr>2 (2)</vt:lpstr>
      <vt:lpstr>3 (2)</vt:lpstr>
      <vt:lpstr>4 (2)</vt:lpstr>
      <vt:lpstr>5 (2)</vt:lpstr>
      <vt:lpstr>6 (2)</vt:lpstr>
      <vt:lpstr>7 (2)</vt:lpstr>
      <vt:lpstr>8 (2)</vt:lpstr>
      <vt:lpstr>9 (2)</vt:lpstr>
      <vt:lpstr>10 (2)</vt:lpstr>
      <vt:lpstr>11 (2)</vt:lpstr>
      <vt:lpstr>12 (2)</vt:lpstr>
      <vt:lpstr>13 (2)</vt:lpstr>
      <vt:lpstr>14 (2)</vt:lpstr>
      <vt:lpstr>15 (2)</vt:lpstr>
      <vt:lpstr>16 (2)</vt:lpstr>
      <vt:lpstr>17 (2)</vt:lpstr>
      <vt:lpstr>18 (2)</vt:lpstr>
      <vt:lpstr>19 (2)</vt:lpstr>
      <vt:lpstr>20 (2)</vt:lpstr>
      <vt:lpstr>21 (2)</vt:lpstr>
      <vt:lpstr>22 (2)</vt:lpstr>
      <vt:lpstr>23 (2)</vt:lpstr>
      <vt:lpstr>24 (2)</vt:lpstr>
      <vt:lpstr>25 (2)</vt:lpstr>
      <vt:lpstr>26 (2)</vt:lpstr>
      <vt:lpstr>67</vt:lpstr>
      <vt:lpstr>68</vt:lpstr>
      <vt:lpstr>69</vt:lpstr>
      <vt:lpstr>70</vt:lpstr>
      <vt:lpstr>71</vt:lpstr>
      <vt:lpstr>72</vt:lpstr>
      <vt:lpstr>33 (2)</vt:lpstr>
      <vt:lpstr>34 (2)</vt:lpstr>
      <vt:lpstr>35 (2)</vt:lpstr>
      <vt:lpstr>36 (2)</vt:lpstr>
      <vt:lpstr>37 (2)</vt:lpstr>
      <vt:lpstr>38 (2)</vt:lpstr>
      <vt:lpstr>39 (2)</vt:lpstr>
      <vt:lpstr>40 (2)</vt:lpstr>
      <vt:lpstr>1 (3)</vt:lpstr>
      <vt:lpstr>2 (3)</vt:lpstr>
      <vt:lpstr>3 (3)</vt:lpstr>
      <vt:lpstr>4 (3)</vt:lpstr>
      <vt:lpstr>5 (3)</vt:lpstr>
      <vt:lpstr>6 (3)</vt:lpstr>
      <vt:lpstr>7 (3)</vt:lpstr>
      <vt:lpstr>8 (3)</vt:lpstr>
      <vt:lpstr>9 (3)</vt:lpstr>
      <vt:lpstr>10 (3)</vt:lpstr>
      <vt:lpstr>11 (3)</vt:lpstr>
      <vt:lpstr>12 (3)</vt:lpstr>
      <vt:lpstr>13 (3)</vt:lpstr>
      <vt:lpstr>14 (3)</vt:lpstr>
      <vt:lpstr>15 (3)</vt:lpstr>
      <vt:lpstr>16 (3)</vt:lpstr>
      <vt:lpstr>17 (3)</vt:lpstr>
      <vt:lpstr>18 (3)</vt:lpstr>
      <vt:lpstr>19 (3)</vt:lpstr>
      <vt:lpstr>20 (3)</vt:lpstr>
      <vt:lpstr>21 (3)</vt:lpstr>
      <vt:lpstr>22 (3)</vt:lpstr>
      <vt:lpstr>23 (3)</vt:lpstr>
      <vt:lpstr>24 (3)</vt:lpstr>
      <vt:lpstr>25 (3)</vt:lpstr>
      <vt:lpstr>26 (3)</vt:lpstr>
      <vt:lpstr>27 (3)</vt:lpstr>
      <vt:lpstr>28 (3)</vt:lpstr>
      <vt:lpstr>29 (3)</vt:lpstr>
      <vt:lpstr>30 (3)</vt:lpstr>
      <vt:lpstr>31 (3)</vt:lpstr>
      <vt:lpstr>32 (3)</vt:lpstr>
      <vt:lpstr>33 (3)</vt:lpstr>
      <vt:lpstr>34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shaobt</cp:lastModifiedBy>
  <dcterms:created xsi:type="dcterms:W3CDTF">2026-08-15T23:46:00Z</dcterms:created>
  <dcterms:modified xsi:type="dcterms:W3CDTF">2026-09-25T18:56:54Z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39A469EAE184CF7A7653B66A9CF944C4_43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