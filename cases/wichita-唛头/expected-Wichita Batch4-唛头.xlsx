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\\10.10.70.225\客服部\订单文件\美加欧区\刘丹\N20 Nextpower\N20-260728, Wichita Project Golden Row\N20-260728-4th BKKGX5670700\"/>
    </mc:Choice>
  </mc:AlternateContent>
  <bookViews>
    <workbookView windowWidth="28800" windowHeight="11805" firstSheet="15"/>
  </bookViews>
  <sheets>
    <sheet name="1" sheetId="65" r:id="rId1"/>
    <sheet name="2" sheetId="105" r:id="rId2"/>
    <sheet name="3" sheetId="106" r:id="rId3"/>
    <sheet name="4" sheetId="107" r:id="rId4"/>
    <sheet name="5" sheetId="224" r:id="rId5"/>
    <sheet name="6" sheetId="109" r:id="rId6"/>
    <sheet name="7" sheetId="110" r:id="rId7"/>
    <sheet name="8" sheetId="111" r:id="rId8"/>
    <sheet name="9" sheetId="112" r:id="rId9"/>
    <sheet name="10" sheetId="113" r:id="rId10"/>
    <sheet name="11" sheetId="114" r:id="rId11"/>
    <sheet name="12" sheetId="115" r:id="rId12"/>
    <sheet name="13" sheetId="116" r:id="rId13"/>
    <sheet name="14" sheetId="117" r:id="rId14"/>
    <sheet name="15" sheetId="118" r:id="rId15"/>
    <sheet name="16" sheetId="119" r:id="rId16"/>
    <sheet name="17" sheetId="120" r:id="rId17"/>
    <sheet name="18" sheetId="225" r:id="rId18"/>
    <sheet name="19" sheetId="226" r:id="rId19"/>
    <sheet name="20" sheetId="227" r:id="rId20"/>
    <sheet name="21" sheetId="228" r:id="rId21"/>
    <sheet name="22" sheetId="229" r:id="rId22"/>
    <sheet name="23" sheetId="230" r:id="rId23"/>
    <sheet name="24" sheetId="231" r:id="rId24"/>
    <sheet name="25" sheetId="232" r:id="rId25"/>
    <sheet name="26" sheetId="233" r:id="rId26"/>
    <sheet name="27" sheetId="234" r:id="rId27"/>
    <sheet name="28" sheetId="235" r:id="rId28"/>
    <sheet name="29" sheetId="236" r:id="rId29"/>
    <sheet name="30" sheetId="237" r:id="rId30"/>
    <sheet name="31" sheetId="238" r:id="rId31"/>
    <sheet name="32" sheetId="239" r:id="rId32"/>
    <sheet name="33" sheetId="240" r:id="rId33"/>
    <sheet name="34" sheetId="241" r:id="rId34"/>
    <sheet name="35" sheetId="242" r:id="rId35"/>
    <sheet name="36" sheetId="243" r:id="rId36"/>
    <sheet name="37" sheetId="244" r:id="rId37"/>
    <sheet name="38" sheetId="245" r:id="rId38"/>
    <sheet name="39" sheetId="246" r:id="rId39"/>
    <sheet name="40" sheetId="247" r:id="rId40"/>
  </sheets>
  <externalReferences>
    <externalReference r:id="rId41"/>
    <externalReference r:id="rId42"/>
  </externalReferences>
  <definedNames>
    <definedName name="_xlnm.Print_Area" localSheetId="0">'1'!$A$1:$C$23</definedName>
    <definedName name="_xlnm.Print_Area" localSheetId="1">'2'!$A$1:$C$23</definedName>
    <definedName name="_xlnm.Print_Area" localSheetId="2">'3'!$A$1:$C$23</definedName>
    <definedName name="_xlnm.Print_Area" localSheetId="3">'4'!$A$1:$C$23</definedName>
    <definedName name="_xlnm.Print_Area" localSheetId="5">'6'!$A$1:$C$23</definedName>
    <definedName name="_xlnm.Print_Area" localSheetId="6">'7'!$A$1:$C$23</definedName>
    <definedName name="_xlnm.Print_Area" localSheetId="7">'8'!$A$1:$C$23</definedName>
    <definedName name="_xlnm.Print_Area" localSheetId="8">'9'!$A$1:$C$23</definedName>
    <definedName name="_xlnm.Print_Area" localSheetId="9">'10'!$A$1:$C$25</definedName>
    <definedName name="_xlnm.Print_Area" localSheetId="10">'11'!$A$1:$C$23</definedName>
    <definedName name="_xlnm.Print_Area" localSheetId="11">'12'!$A$1:$C$23</definedName>
    <definedName name="_xlnm.Print_Area" localSheetId="12">'13'!$A$1:$C$27</definedName>
    <definedName name="_xlnm.Print_Area" localSheetId="13">'14'!$A$1:$C$27</definedName>
    <definedName name="_xlnm.Print_Area" localSheetId="14">'15'!$A$1:$C$25</definedName>
    <definedName name="_xlnm.Print_Area" localSheetId="15">'16'!$A$1:$C$25</definedName>
    <definedName name="_xlnm.Print_Area" localSheetId="16">'17'!$A$1:$C$23</definedName>
    <definedName name="_xlnm.Print_Area" localSheetId="4">'5'!$A$1:$C$23</definedName>
    <definedName name="_xlnm.Print_Area" localSheetId="17">'18'!$A$1:$C$23</definedName>
    <definedName name="_xlnm.Print_Area" localSheetId="18">'19'!$A$1:$C$23</definedName>
    <definedName name="_xlnm.Print_Area" localSheetId="19">'20'!$A$1:$C$23</definedName>
    <definedName name="_xlnm.Print_Area" localSheetId="20">'21'!$A$1:$C$23</definedName>
    <definedName name="_xlnm.Print_Area" localSheetId="21">'22'!$A$1:$C$23</definedName>
    <definedName name="_xlnm.Print_Area" localSheetId="22">'23'!$A$1:$C$23</definedName>
    <definedName name="_xlnm.Print_Area" localSheetId="23">'24'!$A$1:$C$23</definedName>
    <definedName name="_xlnm.Print_Area" localSheetId="24">'25'!$A$1:$C$23</definedName>
    <definedName name="_xlnm.Print_Area" localSheetId="25">'26'!$A$1:$C$23</definedName>
    <definedName name="_xlnm.Print_Area" localSheetId="26">'27'!$A$1:$C$23</definedName>
    <definedName name="_xlnm.Print_Area" localSheetId="27">'28'!$A$1:$C$23</definedName>
    <definedName name="_xlnm.Print_Area" localSheetId="28">'29'!$A$1:$C$23</definedName>
    <definedName name="_xlnm.Print_Area" localSheetId="29">'30'!$A$1:$C$23</definedName>
    <definedName name="_xlnm.Print_Area" localSheetId="30">'31'!$A$1:$C$23</definedName>
    <definedName name="_xlnm.Print_Area" localSheetId="31">'32'!$A$1:$C$23</definedName>
    <definedName name="_xlnm.Print_Area" localSheetId="32">'33'!$A$1:$C$23</definedName>
    <definedName name="_xlnm.Print_Area" localSheetId="33">'34'!$A$1:$C$23</definedName>
    <definedName name="_xlnm.Print_Area" localSheetId="34">'35'!$A$1:$C$23</definedName>
    <definedName name="_xlnm.Print_Area" localSheetId="35">'36'!$A$1:$C$23</definedName>
    <definedName name="_xlnm.Print_Area" localSheetId="36">'37'!$A$1:$C$23</definedName>
    <definedName name="_xlnm.Print_Area" localSheetId="37">'38'!$A$1:$C$23</definedName>
    <definedName name="_xlnm.Print_Area" localSheetId="38">'39'!$A$1:$C$27</definedName>
    <definedName name="_xlnm.Print_Area" localSheetId="39">'40'!$A$1:$C$27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58913C71E3164241A1CD2B9CBBBF313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 rot="5400000">
          <a:off x="1310005" y="6933565"/>
          <a:ext cx="1735455" cy="203835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<sst xmlns="http://schemas.openxmlformats.org/spreadsheetml/2006/main" count="1399" uniqueCount="139">
  <si>
    <t>SUPPLIER ID:   4047270</t>
  </si>
  <si>
    <t>COUNTRY OF ORIGIN: THAILAND</t>
  </si>
  <si>
    <t>PROJECT NUMBER</t>
  </si>
  <si>
    <t>PROJECT NAME</t>
  </si>
  <si>
    <t>Wichita TX - 805MW - eBOS WHA</t>
  </si>
  <si>
    <t>SO NUMBER</t>
  </si>
  <si>
    <t>PO NUMBER</t>
  </si>
  <si>
    <t>UAE90711</t>
  </si>
  <si>
    <t>LOT NUMBER</t>
  </si>
  <si>
    <t>1-114</t>
  </si>
  <si>
    <t>PART NUMBER</t>
  </si>
  <si>
    <t>PART DESCRIPTION</t>
  </si>
  <si>
    <t>QUANTITY/PN</t>
  </si>
  <si>
    <t>PPH-9.P.RED.5.00003</t>
  </si>
  <si>
    <t>PPH,MRTSN,WCHTA,PPH,9-1,TP1,POS,RED</t>
  </si>
  <si>
    <t>PPH-9.N.BLK.0.00003</t>
  </si>
  <si>
    <t>PPH,MRTSN,WCHTA,PPH,9-1,TP1,NEG,BLK</t>
  </si>
  <si>
    <t>PPH-9.P.RED.5.00004</t>
  </si>
  <si>
    <t>PPH,MRTSN,WCHTA,PPH,9-1,TP2,POS,RED</t>
  </si>
  <si>
    <t>PPH-9.N.BLK.0.00004</t>
  </si>
  <si>
    <t>PPH,MRTSN,WCHTA,PPH,9-1,TP2,NEG,BLK</t>
  </si>
  <si>
    <t>SH-2.8.RED.BLK.00003</t>
  </si>
  <si>
    <t>MRTSN,WCHTA,SH,N/S,PAIR 2,#8CU-#6AL</t>
  </si>
  <si>
    <t>SH-2.8.RED.BLK.00006</t>
  </si>
  <si>
    <t>MRTSN,WCHTA,SH,N/S,PAIR 5,#8CU-#6AL</t>
  </si>
  <si>
    <t>SH-2.8.RED.BLK.00011</t>
  </si>
  <si>
    <t>MRTSN,WCHTA,SH,N/S,PAIR 10,#8CU-#6AL,XTRACKER</t>
  </si>
  <si>
    <t>WEIGHT (IN KG)</t>
  </si>
  <si>
    <t>DIMENSIONS (MM) LxWxH</t>
  </si>
  <si>
    <t>1050 x 1050 x 1150 mm</t>
  </si>
  <si>
    <t>TYPE OF STORAGE</t>
  </si>
  <si>
    <t>INDOOR</t>
  </si>
  <si>
    <t>STACKABILITY</t>
  </si>
  <si>
    <t>NO</t>
  </si>
  <si>
    <t>BLOCK NUMBER</t>
  </si>
  <si>
    <t>CMB.013.3.01</t>
  </si>
  <si>
    <t>PART PHOTO</t>
  </si>
  <si>
    <t>2-114</t>
  </si>
  <si>
    <t>465.34</t>
  </si>
  <si>
    <r>
      <t>CMB.013.3.01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CMB.013.3.02</t>
    </r>
  </si>
  <si>
    <t>3-114</t>
  </si>
  <si>
    <t>CMB.013.3.02</t>
  </si>
  <si>
    <t>4-114</t>
  </si>
  <si>
    <t>PPH-9.P.RED.5.00012</t>
  </si>
  <si>
    <t>PPH,MRTSN,WCHTA,PPH,9-1,TP10,POS,RED</t>
  </si>
  <si>
    <t>PPH-9.N.BLK.0.00012</t>
  </si>
  <si>
    <t>PPH,MRTSN,WCHTA,PPH,9-1,TP10,NEG,BLK</t>
  </si>
  <si>
    <t>SH-2.8.RED.BLK.00012</t>
  </si>
  <si>
    <t>MRTSN,WCHTA,SH,N/S,PAIR 11,#8CU-#6AL,XTRACKER</t>
  </si>
  <si>
    <t>CMB.013.3.03</t>
  </si>
  <si>
    <t>5-114</t>
  </si>
  <si>
    <t>466.38</t>
  </si>
  <si>
    <t>CMB.013.3.04</t>
  </si>
  <si>
    <t>6-114</t>
  </si>
  <si>
    <t>CMB.013.4.05</t>
  </si>
  <si>
    <t>7-114</t>
  </si>
  <si>
    <t>CMB.013.4.05，CMB.013.4.06</t>
  </si>
  <si>
    <t>8-114</t>
  </si>
  <si>
    <t>CMB.013.4.06</t>
  </si>
  <si>
    <t>9-114</t>
  </si>
  <si>
    <t>CMB.013.4.07</t>
  </si>
  <si>
    <t>10-114</t>
  </si>
  <si>
    <t>PPH-10.P.RED.5.00004</t>
  </si>
  <si>
    <t>PPH-10.N.BLK.0.00005</t>
  </si>
  <si>
    <r>
      <t>CMB.013.4.07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CMB.014.2.19</t>
    </r>
  </si>
  <si>
    <t>11-114</t>
  </si>
  <si>
    <t>CMB.013.4.08</t>
  </si>
  <si>
    <t>12-114</t>
  </si>
  <si>
    <t>CMB.013.4.09</t>
  </si>
  <si>
    <t>13-114</t>
  </si>
  <si>
    <t>PPH-9.P.RED.5.00009</t>
  </si>
  <si>
    <t>PPH,MRTSN,WCHTA,PPH,9-1,TP7,POS,RED</t>
  </si>
  <si>
    <t>PPH-9.N.BLK.0.00009</t>
  </si>
  <si>
    <t>PPH,MRTSN,WCHTA,PPH,9-1,TP7,NEG,BLK</t>
  </si>
  <si>
    <t>PPH-5.P.RED.5.00002</t>
  </si>
  <si>
    <t>PPH,MRTSN,WCHTA,PPH,5-1,TP2,POS,RED</t>
  </si>
  <si>
    <t>PPH-5.N.BLK.0.00016</t>
  </si>
  <si>
    <t>PPH,MRTSN,WCHTA,PPH,5-1,TP2,NEG,BLK</t>
  </si>
  <si>
    <t>SH-2.8.RED.BLK.00005</t>
  </si>
  <si>
    <t>MRTSN,WCHTA,SH,N/S,PAIR 4,#8CU-#6AL</t>
  </si>
  <si>
    <t>SH-2.8.RED.BLK.00009</t>
  </si>
  <si>
    <t>MRTSN,WCHTA,SH,N/S,PAIR 8,#8CU-#6AL</t>
  </si>
  <si>
    <t>CMB.013.2.10</t>
  </si>
  <si>
    <t>14-114</t>
  </si>
  <si>
    <t>CMB.013.2.11</t>
  </si>
  <si>
    <t>15-114</t>
  </si>
  <si>
    <t>PPH,MRTSN,WCHTA,PPH,10--1,TP4,POS,RED</t>
  </si>
  <si>
    <t>PPH,MRTSN,WCHTA,PPH,10--1,TP4,NEG,BLK</t>
  </si>
  <si>
    <t>467.4</t>
  </si>
  <si>
    <t>CMB.013.1.12</t>
  </si>
  <si>
    <t>16-114</t>
  </si>
  <si>
    <t>CMB.013.1.13</t>
  </si>
  <si>
    <t>17-114</t>
  </si>
  <si>
    <t>CMB.013.1.14</t>
  </si>
  <si>
    <t>18-114</t>
  </si>
  <si>
    <r>
      <t>CMB.013.1.14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CMB.013.1.15</t>
    </r>
  </si>
  <si>
    <t>19-114</t>
  </si>
  <si>
    <t>CMB.013.1.15</t>
  </si>
  <si>
    <t>20-114</t>
  </si>
  <si>
    <t>CMB.013.1.16</t>
  </si>
  <si>
    <t>21-114</t>
  </si>
  <si>
    <r>
      <t>CMB.013.1.16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CMB.013.2.17</t>
    </r>
  </si>
  <si>
    <t>22-114</t>
  </si>
  <si>
    <t>CMB.013.2.17</t>
  </si>
  <si>
    <t>23-114</t>
  </si>
  <si>
    <t>CMB.013.2.18</t>
  </si>
  <si>
    <t>24-114</t>
  </si>
  <si>
    <r>
      <t>CMB.013.2.18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CMB.013.2.19</t>
    </r>
  </si>
  <si>
    <t>25-114</t>
  </si>
  <si>
    <t>CMB.013.2.19</t>
  </si>
  <si>
    <t>26-114</t>
  </si>
  <si>
    <t>CMB.013.3.20</t>
  </si>
  <si>
    <t>27-114</t>
  </si>
  <si>
    <r>
      <t>CMB.013.3.20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CMB.014.3.01</t>
    </r>
  </si>
  <si>
    <t>28-114</t>
  </si>
  <si>
    <t>CMB.014.3.01</t>
  </si>
  <si>
    <t>29-114</t>
  </si>
  <si>
    <t>CMB.014.3.02</t>
  </si>
  <si>
    <t>30-114</t>
  </si>
  <si>
    <r>
      <t>CMB.014.3.02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CMB.014.3.03</t>
    </r>
  </si>
  <si>
    <t>31-114</t>
  </si>
  <si>
    <t>CMB.014.3.03</t>
  </si>
  <si>
    <t>32-114</t>
  </si>
  <si>
    <t>CMB.014.3.04</t>
  </si>
  <si>
    <t>33-114</t>
  </si>
  <si>
    <r>
      <t>CMB.014.3.04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CMB.014.4.05</t>
    </r>
  </si>
  <si>
    <t>34-114</t>
  </si>
  <si>
    <t>CMB.014.4.05</t>
  </si>
  <si>
    <t>35-114</t>
  </si>
  <si>
    <t>CMB.014.4.06</t>
  </si>
  <si>
    <t>36-114</t>
  </si>
  <si>
    <r>
      <t>CMB.014.4.06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CMB.014.4.07</t>
    </r>
  </si>
  <si>
    <t>37-114</t>
  </si>
  <si>
    <t>CMB.014.4.07</t>
  </si>
  <si>
    <t>CMB.014.4.08</t>
  </si>
  <si>
    <t>39-114</t>
  </si>
  <si>
    <t>CMB.014.4.09</t>
  </si>
  <si>
    <t>40-114</t>
  </si>
  <si>
    <t>CMB.014.1.10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</si>
</sst>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name val="Neue Montreal"/>
      <charset val="134"/>
    </font>
    <font>
      <b/>
      <sz val="10"/>
      <color rgb="FF000000"/>
      <name val="Neue Montreal"/>
      <charset val="134"/>
    </font>
    <font>
      <sz val="10"/>
      <color rgb="FF000000"/>
      <name val="Neue Montreal"/>
      <charset val="134"/>
    </font>
    <font>
      <sz val="10"/>
      <color theme="1"/>
      <name val="Neue Montreal"/>
      <charset val="134"/>
    </font>
    <font>
      <b/>
      <sz val="10"/>
      <color theme="1"/>
      <name val="Neue Montre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4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justify" vertical="center" wrapText="1"/>
    </xf>
    <xf numFmtId="0" fontId="3" fillId="0" borderId="4" xfId="0" applyFont="1" applyFill="1" applyBorder="1" applyAlignment="1">
      <alignment horizontal="justify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6" Type="http://schemas.openxmlformats.org/officeDocument/2006/relationships/styles" Target="styles.xml"/><Relationship Id="rId45" Type="http://www.wps.cn/officeDocument/2020/cellImage" Target="cellimages.xml"/><Relationship Id="rId44" Type="http://schemas.openxmlformats.org/officeDocument/2006/relationships/sharedStrings" Target="sharedStrings.xml"/><Relationship Id="rId43" Type="http://schemas.openxmlformats.org/officeDocument/2006/relationships/theme" Target="theme/theme1.xml"/><Relationship Id="rId42" Type="http://schemas.openxmlformats.org/officeDocument/2006/relationships/externalLink" Target="externalLinks/externalLink2.xml"/><Relationship Id="rId41" Type="http://schemas.openxmlformats.org/officeDocument/2006/relationships/externalLink" Target="externalLinks/externalLink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10.10.70.225\&#23458;&#26381;&#37096;\&#35746;&#21333;&#25991;&#20214;\&#32654;&#21152;&#27431;&#21306;\&#21016;&#20025;\N20 Nextpower\N20-260728, Wichita Project Golden Row\N20-260728-3rd S2601991986\&#21253;&#35013;&#21787;&#22836;\PN-DES for Wichi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3458;&#26381;&#37096;/&#35746;&#21333;&#25991;&#20214;/&#32654;&#21152;&#27431;&#21306;/&#21016;&#20025;/N20%20Nextpower/&#25253;&#20215;/NAEU260514-005%20Project%203494389%20(3889589)-Wichita/&#20869;&#37096;&#25991;&#20214;/PN-DES%20for%20Wichi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F1" t="str">
            <v>PN</v>
          </cell>
          <cell r="G1" t="str">
            <v>Description</v>
          </cell>
        </row>
        <row r="2">
          <cell r="F2" t="str">
            <v>SH-2.8.RED.BLK.00002</v>
          </cell>
          <cell r="G2" t="str">
            <v>MRTSN,WCHTA,SH,N/S,PAIR 1,#8CU-#6AL</v>
          </cell>
        </row>
        <row r="4">
          <cell r="F4" t="str">
            <v>SH-2.8.RED.BLK.00003</v>
          </cell>
          <cell r="G4" t="str">
            <v>MRTSN,WCHTA,SH,N/S,PAIR 2,#8CU-#6AL</v>
          </cell>
        </row>
        <row r="6">
          <cell r="F6" t="str">
            <v>SH-2.8.RED.BLK.00004</v>
          </cell>
          <cell r="G6" t="str">
            <v>MRTSN,WCHTA,SH,N/S,PAIR 3,#8CU-#6AL</v>
          </cell>
        </row>
        <row r="8">
          <cell r="F8" t="str">
            <v>SH-2.8.RED.BLK.00005</v>
          </cell>
          <cell r="G8" t="str">
            <v>MRTSN,WCHTA,SH,N/S,PAIR 4,#8CU-#6AL</v>
          </cell>
        </row>
        <row r="10">
          <cell r="F10" t="str">
            <v>SH-2.8.RED.BLK.00006</v>
          </cell>
          <cell r="G10" t="str">
            <v>MRTSN,WCHTA,SH,N/S,PAIR 5,#8CU-#6AL</v>
          </cell>
        </row>
        <row r="12">
          <cell r="F12" t="str">
            <v>SH-2.8.RED.BLK.00007</v>
          </cell>
          <cell r="G12" t="str">
            <v>MRTSN,WCHTA,SH,N/S,PAIR 6,#8CU-#6AL,XTRACKER</v>
          </cell>
        </row>
        <row r="14">
          <cell r="F14" t="str">
            <v>SH-2.8.RED.BLK.00008</v>
          </cell>
          <cell r="G14" t="str">
            <v>MRTSN,WCHTA,SH,N/S,PAIR 7,#8CU-#6AL,XTRACKER</v>
          </cell>
        </row>
        <row r="16">
          <cell r="F16" t="str">
            <v>SH-2.8.RED.BLK.00009</v>
          </cell>
          <cell r="G16" t="str">
            <v>MRTSN,WCHTA,SH,N/S,PAIR 8,#8CU-#6AL,XTRACKER</v>
          </cell>
        </row>
        <row r="18">
          <cell r="F18" t="str">
            <v>SH-2.8.RED.BLK.00010</v>
          </cell>
          <cell r="G18" t="str">
            <v>MRTSN,WCHTA,SH,N/S,PAIR 9,#8CU-#6AL,XTRACKER</v>
          </cell>
        </row>
        <row r="20">
          <cell r="F20" t="str">
            <v>SH-2.8.RED.BLK.00011</v>
          </cell>
          <cell r="G20" t="str">
            <v>MRTSN,WCHTA,SH,N/S,PAIR 10,#8CU-#6AL,XTRACKER</v>
          </cell>
        </row>
        <row r="22">
          <cell r="F22" t="str">
            <v>SH-2.8.RED.BLK.00012</v>
          </cell>
          <cell r="G22" t="str">
            <v>MRTSN,WCHTA,SH,N/S,PAIR 11,#8CU-#6AL,XTRACKER</v>
          </cell>
        </row>
        <row r="25">
          <cell r="F25" t="str">
            <v>SH-2.8.RED.BLK.00013</v>
          </cell>
          <cell r="G25" t="str">
            <v>MRTSN,WCHTA,SH,E/W,PAIR 1,#8CU</v>
          </cell>
        </row>
        <row r="27">
          <cell r="F27" t="str">
            <v>SH-2.8.RED.BLK.00014</v>
          </cell>
          <cell r="G27" t="str">
            <v>MRTSN,WCHTA,SH,E/W,PAIR 2,#8CU-#6AL</v>
          </cell>
        </row>
        <row r="29">
          <cell r="F29" t="str">
            <v>SH-2.8.RED.BLK.00015</v>
          </cell>
          <cell r="G29" t="str">
            <v>MRTSN,WCHTA,SH,E/W,PAIR 3,#8CU-#6AL</v>
          </cell>
        </row>
        <row r="31">
          <cell r="F31" t="str">
            <v>SH-2.8.RED.BLK.00016</v>
          </cell>
          <cell r="G31" t="str">
            <v>MRTSN,WCHTA,SH,E/W,PAIR 4,#8CU-#6AL</v>
          </cell>
        </row>
        <row r="33">
          <cell r="F33" t="str">
            <v>SH-2.8.RED.BLK.00017</v>
          </cell>
          <cell r="G33" t="str">
            <v>MRTSN,WCHTA,SH,E/W,PAIR 5,#8CU-#6AL</v>
          </cell>
        </row>
        <row r="35">
          <cell r="F35" t="str">
            <v>SH-2.8.RED.BLK.00018</v>
          </cell>
          <cell r="G35" t="str">
            <v>MRTSN,WCHTA,SH,E/W,PAIR 6,#8CU-#6AL</v>
          </cell>
        </row>
        <row r="37">
          <cell r="F37" t="str">
            <v>SH-2.8.RED.BLK.00019</v>
          </cell>
          <cell r="G37" t="str">
            <v>MRTSN,WCHTA,SH,E/W,PAIR 7,#8CU-#6AL</v>
          </cell>
        </row>
        <row r="40">
          <cell r="F40" t="str">
            <v>PPH-10.P.RED.5.00001</v>
          </cell>
          <cell r="G40" t="str">
            <v>PPH,MRTSN,WCHTA,PPH,10-1,TP1,POS,RED</v>
          </cell>
        </row>
        <row r="41">
          <cell r="F41" t="str">
            <v>PPH-10.N.BLK.0.00002</v>
          </cell>
          <cell r="G41" t="str">
            <v>PPH,MRTSN,WCHTA,PPH,10-1,TP1,NEG,BLK</v>
          </cell>
        </row>
        <row r="42">
          <cell r="F42" t="str">
            <v>PPH-10.P.RED.5.00002</v>
          </cell>
          <cell r="G42" t="str">
            <v>PPH,MRTSN,WCHTA,PPH,10-1,TP2,POS,RED</v>
          </cell>
        </row>
        <row r="43">
          <cell r="F43" t="str">
            <v>PPH-10.N.BLK.0.00003</v>
          </cell>
          <cell r="G43" t="str">
            <v>PPH,MRTSN,WCHTA,PPH,10-1,TP2,NEG,BLK</v>
          </cell>
        </row>
        <row r="44">
          <cell r="F44" t="str">
            <v>PPH-10.P.RED.5.00003</v>
          </cell>
          <cell r="G44" t="str">
            <v>PPH,MRTSN,WCHTA,PPH,10-1,TP3,POS,RED</v>
          </cell>
        </row>
        <row r="45">
          <cell r="F45" t="str">
            <v>PPH-10.N.BLK.0.00004</v>
          </cell>
          <cell r="G45" t="str">
            <v>PPH,MRTSN,WCHTA,PPH,10-1,TP3,NEG,BLK</v>
          </cell>
        </row>
        <row r="46">
          <cell r="F46" t="str">
            <v>PPH-10.P.RED.5.00004</v>
          </cell>
          <cell r="G46" t="str">
            <v>PPH,MRTSN,WCHTA,PPH,10-1,TP4,POS,RED</v>
          </cell>
        </row>
        <row r="47">
          <cell r="F47" t="str">
            <v>PPH-10.N.BLK.0.00005</v>
          </cell>
          <cell r="G47" t="str">
            <v>PPH,MRTSN,WCHTA,PPH,10-1,TP4,NEG,BLK</v>
          </cell>
        </row>
        <row r="48">
          <cell r="F48" t="str">
            <v>PPH-10.P.RED.5.00005</v>
          </cell>
          <cell r="G48" t="str">
            <v>PPH,MRTSN,WCHTA,PPH,10-1,TP5,POS,RED</v>
          </cell>
        </row>
        <row r="49">
          <cell r="F49" t="str">
            <v>PPH-10.N.BLK.0.00006</v>
          </cell>
          <cell r="G49" t="str">
            <v>PPH,MRTSN,WCHTA,PPH,10-1,TP5,NEG,BLK</v>
          </cell>
        </row>
        <row r="50">
          <cell r="F50" t="str">
            <v>PPH-10.P.RED.5.00006</v>
          </cell>
          <cell r="G50" t="str">
            <v>PPH,MRTSN,WCHTA,PPH,10-1,TP6,POS,RED</v>
          </cell>
        </row>
        <row r="51">
          <cell r="F51" t="str">
            <v>PPH-10.N.BLK.0.00007</v>
          </cell>
          <cell r="G51" t="str">
            <v>PPH,MRTSN,WCHTA,PPH,10-1,TP6,NEG,BLK</v>
          </cell>
        </row>
        <row r="52">
          <cell r="F52" t="str">
            <v>PPH-9.P.RED.5.00003</v>
          </cell>
          <cell r="G52" t="str">
            <v>PPH,MRTSN,WCHTA,PPH,9-1,TP1,POS,RED</v>
          </cell>
        </row>
        <row r="53">
          <cell r="F53" t="str">
            <v>PPH-9.N.BLK.0.00003</v>
          </cell>
          <cell r="G53" t="str">
            <v>PPH,MRTSN,WCHTA,PPH,9-1,TP1,NEG,BLK</v>
          </cell>
        </row>
        <row r="54">
          <cell r="F54" t="str">
            <v>PPH-9.P.RED.5.00004</v>
          </cell>
          <cell r="G54" t="str">
            <v>PPH,MRTSN,WCHTA,PPH,9-1,TP2,POS,RED</v>
          </cell>
        </row>
        <row r="55">
          <cell r="F55" t="str">
            <v>PPH-9.N.BLK.0.00004</v>
          </cell>
          <cell r="G55" t="str">
            <v>PPH,MRTSN,WCHTA,PPH,9-1,TP2,NEG,BLK</v>
          </cell>
        </row>
        <row r="56">
          <cell r="F56" t="str">
            <v>PPH-9.P.RED.5.00005</v>
          </cell>
          <cell r="G56" t="str">
            <v>PPH,MRTSN,WCHTA,PPH,9-1,TP3,POS,RED</v>
          </cell>
        </row>
        <row r="57">
          <cell r="F57" t="str">
            <v>PPH-9.N.BLK.0.00005</v>
          </cell>
          <cell r="G57" t="str">
            <v>PPH,MRTSN,WCHTA,PPH,9-1,TP3,NEG,BLK</v>
          </cell>
        </row>
        <row r="58">
          <cell r="F58" t="str">
            <v>PPH-9.P.RED.5.00006</v>
          </cell>
          <cell r="G58" t="str">
            <v>PPH,MRTSN,WCHTA,PPH,9-1,TP4,POS,RED</v>
          </cell>
        </row>
        <row r="59">
          <cell r="F59" t="str">
            <v>PPH-9.N.BLK.0.00006</v>
          </cell>
          <cell r="G59" t="str">
            <v>PPH,MRTSN,WCHTA,PPH,9-1,TP4,NEG,BLK</v>
          </cell>
        </row>
        <row r="60">
          <cell r="F60" t="str">
            <v>PPH-9.P.RED.5.00007</v>
          </cell>
          <cell r="G60" t="str">
            <v>PPH,MRTSN,WCHTA,PPH,9-1,TP5,POS,RED</v>
          </cell>
        </row>
        <row r="61">
          <cell r="F61" t="str">
            <v>PPH-9.N.BLK.0.00007</v>
          </cell>
          <cell r="G61" t="str">
            <v>PPH,MRTSN,WCHTA,PPH,9-1,TP5,NEG,BLK</v>
          </cell>
        </row>
        <row r="62">
          <cell r="F62" t="str">
            <v>PPH-9.P.RED.5.00008</v>
          </cell>
          <cell r="G62" t="str">
            <v>PPH,MRTSN,WCHTA,PPH,9-1,TP6,POS,RED</v>
          </cell>
        </row>
        <row r="63">
          <cell r="F63" t="str">
            <v>PPH-9.N.BLK.0.00008</v>
          </cell>
          <cell r="G63" t="str">
            <v>PPH,MRTSN,WCHTA,PPH,9-1,TP6,NEG,BLK</v>
          </cell>
        </row>
        <row r="64">
          <cell r="F64" t="str">
            <v>PPH-9.P.RED.5.00009</v>
          </cell>
          <cell r="G64" t="str">
            <v>PPH,MRTSN,WCHTA,PPH,9-1,TP7,POS,RED</v>
          </cell>
        </row>
        <row r="65">
          <cell r="F65" t="str">
            <v>PPH-9.N.BLK.0.00009</v>
          </cell>
          <cell r="G65" t="str">
            <v>PPH,MRTSN,WCHTA,PPH,9-1,TP7,NEG,BLK</v>
          </cell>
        </row>
        <row r="66">
          <cell r="F66" t="str">
            <v>PPH-9.P.RED.5.00010</v>
          </cell>
          <cell r="G66" t="str">
            <v>PPH,MRTSN,WCHTA,PPH,9-1,TP8,POS,RED</v>
          </cell>
        </row>
        <row r="67">
          <cell r="F67" t="str">
            <v>PPH-9.N.BLK.0.00010</v>
          </cell>
          <cell r="G67" t="str">
            <v>PPH,MRTSN,WCHTA,PPH,9-1,TP8,NEG,BLK</v>
          </cell>
        </row>
        <row r="68">
          <cell r="F68" t="str">
            <v>PPH-9.P.RED.5.00011</v>
          </cell>
          <cell r="G68" t="str">
            <v>PPH,MRTSN,WCHTA,PPH,9-1,TP9,POS,RED</v>
          </cell>
        </row>
        <row r="69">
          <cell r="F69" t="str">
            <v>PPH-9.N.BLK.0.00011</v>
          </cell>
          <cell r="G69" t="str">
            <v>PPH,MRTSN,WCHTA,PPH,9-1,TP9,NEG,BLK</v>
          </cell>
        </row>
        <row r="70">
          <cell r="F70" t="str">
            <v>PPH-9.P.RED.5.00012</v>
          </cell>
          <cell r="G70" t="str">
            <v>PPH,MRTSN,WCHTA,PPH,9-1,TP10,POS,RED</v>
          </cell>
        </row>
        <row r="71">
          <cell r="F71" t="str">
            <v>PPH-9.N.BLK.0.00012</v>
          </cell>
          <cell r="G71" t="str">
            <v>PPH,MRTSN,WCHTA,PPH,9-1,TP10,NEG,BLK</v>
          </cell>
        </row>
        <row r="72">
          <cell r="F72" t="str">
            <v>PPH-5.P.RED.5.00001</v>
          </cell>
          <cell r="G72" t="str">
            <v>PPH,MRTSN,WCHTA,PPH,5-1,TP1,POS,RED</v>
          </cell>
        </row>
        <row r="73">
          <cell r="F73" t="str">
            <v>PPH-5.N.BLK.0.00015</v>
          </cell>
          <cell r="G73" t="str">
            <v>PPH,MRTSN,WCHTA,PPH,5-1,TP1,NEG,BLK</v>
          </cell>
        </row>
        <row r="74">
          <cell r="F74" t="str">
            <v>PPH-5.P.RED.5.00002</v>
          </cell>
          <cell r="G74" t="str">
            <v>PPH,MRTSN,WCHTA,PPH,5-1,TP2,POS,RED</v>
          </cell>
        </row>
        <row r="75">
          <cell r="F75" t="str">
            <v>PPH-5.N.BLK.0.00016</v>
          </cell>
          <cell r="G75" t="str">
            <v>PPH,MRTSN,WCHTA,PPH,5-1,TP2,NEG,BLK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H1" t="str">
            <v>PN</v>
          </cell>
          <cell r="I1" t="str">
            <v>Description</v>
          </cell>
        </row>
        <row r="2">
          <cell r="H2" t="str">
            <v>SH-2.8.RED.BLK.00002</v>
          </cell>
          <cell r="I2" t="str">
            <v>MRTSN,WCHTA,SH,N/S,PAIR 1,#8CU-#6AL</v>
          </cell>
        </row>
        <row r="4">
          <cell r="H4" t="str">
            <v>SH-2.8.RED.BLK.00003</v>
          </cell>
          <cell r="I4" t="str">
            <v>MRTSN,WCHTA,SH,N/S,PAIR 2,#8CU-#6AL</v>
          </cell>
        </row>
        <row r="6">
          <cell r="H6" t="str">
            <v>SH-2.8.RED.BLK.00004</v>
          </cell>
          <cell r="I6" t="str">
            <v>MRTSN,WCHTA,SH,N/S,PAIR 3,#8CU-#6AL</v>
          </cell>
        </row>
        <row r="8">
          <cell r="H8" t="str">
            <v>SH-2.8.RED.BLK.00005</v>
          </cell>
          <cell r="I8" t="str">
            <v>MRTSN,WCHTA,SH,N/S,PAIR 4,#8CU-#6AL</v>
          </cell>
        </row>
        <row r="10">
          <cell r="H10" t="str">
            <v>SH-2.8.RED.BLK.00006</v>
          </cell>
          <cell r="I10" t="str">
            <v>MRTSN,WCHTA,SH,N/S,PAIR 5,#8CU-#6AL</v>
          </cell>
        </row>
        <row r="12">
          <cell r="H12" t="str">
            <v>SH-2.8.RED.BLK.00007</v>
          </cell>
          <cell r="I12" t="str">
            <v>MRTSN,WCHTA,SH,N/S,PAIR 6,#8CU-#6AL,XTRACKER</v>
          </cell>
        </row>
        <row r="14">
          <cell r="H14" t="str">
            <v>SH-2.8.RED.BLK.00008</v>
          </cell>
          <cell r="I14" t="str">
            <v>MRTSN,WCHTA,SH,N/S,PAIR 7,#8CU-#6AL,XTRACKER</v>
          </cell>
        </row>
        <row r="16">
          <cell r="H16" t="str">
            <v>SH-2.8.RED.BLK.00009</v>
          </cell>
          <cell r="I16" t="str">
            <v>MRTSN,WCHTA,SH,N/S,PAIR 8,#8CU-#6AL,XTRACKER</v>
          </cell>
        </row>
        <row r="18">
          <cell r="H18" t="str">
            <v>SH-2.8.RED.BLK.00010</v>
          </cell>
          <cell r="I18" t="str">
            <v>MRTSN,WCHTA,SH,N/S,PAIR 9,#8CU-#6AL,XTRACKER</v>
          </cell>
        </row>
        <row r="20">
          <cell r="H20" t="str">
            <v>SH-2.8.RED.BLK.00011</v>
          </cell>
          <cell r="I20" t="str">
            <v>MRTSN,WCHTA,SH,N/S,PAIR 10,#8CU-#6AL,XTRACKER</v>
          </cell>
        </row>
        <row r="22">
          <cell r="H22" t="str">
            <v>SH-2.8.RED.BLK.00012</v>
          </cell>
          <cell r="I22" t="str">
            <v>MRTSN,WCHTA,SH,N/S,PAIR 11,#8CU-#6AL,XTRACKER</v>
          </cell>
        </row>
        <row r="25">
          <cell r="H25" t="str">
            <v>SH-2.8.RED.BLK.00013</v>
          </cell>
          <cell r="I25" t="str">
            <v>MRTSN,WCHTA,SH,E/W,PAIR 1,#8CU</v>
          </cell>
        </row>
        <row r="27">
          <cell r="H27" t="str">
            <v>SH-2.8.RED.BLK.00014</v>
          </cell>
          <cell r="I27" t="str">
            <v>MRTSN,WCHTA,SH,E/W,PAIR 2,#8CU-#6AL</v>
          </cell>
        </row>
        <row r="29">
          <cell r="H29" t="str">
            <v>SH-2.8.RED.BLK.00015</v>
          </cell>
          <cell r="I29" t="str">
            <v>MRTSN,WCHTA,SH,E/W,PAIR 3,#8CU-#6AL</v>
          </cell>
        </row>
        <row r="31">
          <cell r="H31" t="str">
            <v>SH-2.8.RED.BLK.00016</v>
          </cell>
          <cell r="I31" t="str">
            <v>MRTSN,WCHTA,SH,E/W,PAIR 4,#8CU-#6AL</v>
          </cell>
        </row>
        <row r="33">
          <cell r="H33" t="str">
            <v>SH-2.8.RED.BLK.00017</v>
          </cell>
          <cell r="I33" t="str">
            <v>MRTSN,WCHTA,SH,E/W,PAIR 5,#8CU-#6AL</v>
          </cell>
        </row>
        <row r="35">
          <cell r="H35" t="str">
            <v>SH-2.8.RED.BLK.00018</v>
          </cell>
          <cell r="I35" t="str">
            <v>MRTSN,WCHTA,SH,E/W,PAIR 6,#8CU-#6AL</v>
          </cell>
        </row>
        <row r="37">
          <cell r="H37" t="str">
            <v>SH-2.8.RED.BLK.00019</v>
          </cell>
          <cell r="I37" t="str">
            <v>MRTSN,WCHTA,SH,E/W,PAIR 7,#8CU-#6AL</v>
          </cell>
        </row>
        <row r="40">
          <cell r="H40" t="str">
            <v>PPH-10.P.RED.5.00001</v>
          </cell>
          <cell r="I40" t="str">
            <v>PPH,MRTSN,WCHTA,PPH,10-1,TP1,POS,RED</v>
          </cell>
        </row>
        <row r="41">
          <cell r="H41" t="str">
            <v>PPH-10.N.BLK.0.00002</v>
          </cell>
          <cell r="I41" t="str">
            <v>PPH,MRTSN,WCHTA,PPH,10-1,TP1,NEG,BLK</v>
          </cell>
        </row>
        <row r="42">
          <cell r="H42" t="str">
            <v>PPH-10.P.RED.5.00002</v>
          </cell>
          <cell r="I42" t="str">
            <v>PPH,MRTSN,WCHTA,PPH,10-1,TP2,POS,RED</v>
          </cell>
        </row>
        <row r="43">
          <cell r="H43" t="str">
            <v>PPH-10.N.BLK.0.00003</v>
          </cell>
          <cell r="I43" t="str">
            <v>PPH,MRTSN,WCHTA,PPH,10-1,TP2,NEG,BLK</v>
          </cell>
        </row>
        <row r="44">
          <cell r="H44" t="str">
            <v>PPH-10.P.RED.5.00003</v>
          </cell>
          <cell r="I44" t="str">
            <v>PPH,MRTSN,WCHTA,PPH,10-1,TP3,POS,RED</v>
          </cell>
        </row>
        <row r="45">
          <cell r="H45" t="str">
            <v>PPH-10.N.BLK.0.00004</v>
          </cell>
          <cell r="I45" t="str">
            <v>PPH,MRTSN,WCHTA,PPH,10-1,TP3,NEG,BLK</v>
          </cell>
        </row>
        <row r="46">
          <cell r="H46" t="str">
            <v>PPH-10.P.RED.5.00004</v>
          </cell>
          <cell r="I46" t="str">
            <v>PPH,MRTSN,WCHTA,PPH,10-1,TP4,POS,RED</v>
          </cell>
        </row>
        <row r="47">
          <cell r="H47" t="str">
            <v>PPH-10.N.BLK.0.00005</v>
          </cell>
          <cell r="I47" t="str">
            <v>PPH,MRTSN,WCHTA,PPH,10-1,TP4,NEG,BLK</v>
          </cell>
        </row>
        <row r="48">
          <cell r="H48" t="str">
            <v>PPH-10.P.RED.5.00005</v>
          </cell>
          <cell r="I48" t="str">
            <v>PPH,MRTSN,WCHTA,PPH,10-1,TP5,POS,RED</v>
          </cell>
        </row>
        <row r="49">
          <cell r="H49" t="str">
            <v>PPH-10.N.BLK.0.00006</v>
          </cell>
          <cell r="I49" t="str">
            <v>PPH,MRTSN,WCHTA,PPH,10-1,TP5,NEG,BLK</v>
          </cell>
        </row>
        <row r="50">
          <cell r="H50" t="str">
            <v>PPH-10.P.RED.5.00006</v>
          </cell>
          <cell r="I50" t="str">
            <v>PPH,MRTSN,WCHTA,PPH,10-1,TP6,POS,RED</v>
          </cell>
        </row>
        <row r="51">
          <cell r="H51" t="str">
            <v>PPH-10.N.BLK.0.00007</v>
          </cell>
          <cell r="I51" t="str">
            <v>PPH,MRTSN,WCHTA,PPH,10-1,TP6,NEG,BLK</v>
          </cell>
        </row>
        <row r="52">
          <cell r="H52" t="str">
            <v>PPH-9.P.RED.5.00003</v>
          </cell>
          <cell r="I52" t="str">
            <v>PPH,MRTSN,WCHTA,PPH,9-1,TP1,POS,RED</v>
          </cell>
        </row>
        <row r="53">
          <cell r="H53" t="str">
            <v>PPH-9.N.BLK.0.00003</v>
          </cell>
          <cell r="I53" t="str">
            <v>PPH,MRTSN,WCHTA,PPH,9-1,TP1,NEG,BLK</v>
          </cell>
        </row>
        <row r="54">
          <cell r="H54" t="str">
            <v>PPH-9.P.RED.5.00004</v>
          </cell>
          <cell r="I54" t="str">
            <v>PPH,MRTSN,WCHTA,PPH,9-1,TP2,POS,RED</v>
          </cell>
        </row>
        <row r="55">
          <cell r="H55" t="str">
            <v>PPH-9.N.BLK.0.00004</v>
          </cell>
          <cell r="I55" t="str">
            <v>PPH,MRTSN,WCHTA,PPH,9-1,TP2,NEG,BLK</v>
          </cell>
        </row>
        <row r="56">
          <cell r="H56" t="str">
            <v>PPH-9.P.RED.5.00005</v>
          </cell>
          <cell r="I56" t="str">
            <v>PPH,MRTSN,WCHTA,PPH,9-1,TP3,POS,RED</v>
          </cell>
        </row>
        <row r="57">
          <cell r="H57" t="str">
            <v>PPH-9.N.BLK.0.00005</v>
          </cell>
          <cell r="I57" t="str">
            <v>PPH,MRTSN,WCHTA,PPH,9-1,TP3,NEG,BLK</v>
          </cell>
        </row>
        <row r="58">
          <cell r="H58" t="str">
            <v>PPH-9.P.RED.5.00006</v>
          </cell>
          <cell r="I58" t="str">
            <v>PPH,MRTSN,WCHTA,PPH,9-1,TP4,POS,RED</v>
          </cell>
        </row>
        <row r="59">
          <cell r="H59" t="str">
            <v>PPH-9.N.BLK.0.00006</v>
          </cell>
          <cell r="I59" t="str">
            <v>PPH,MRTSN,WCHTA,PPH,9-1,TP4,NEG,BLK</v>
          </cell>
        </row>
        <row r="60">
          <cell r="H60" t="str">
            <v>PPH-9.P.RED.5.00007</v>
          </cell>
          <cell r="I60" t="str">
            <v>PPH,MRTSN,WCHTA,PPH,9-1,TP5,POS,RED</v>
          </cell>
        </row>
        <row r="61">
          <cell r="H61" t="str">
            <v>PPH-9.N.BLK.0.00007</v>
          </cell>
          <cell r="I61" t="str">
            <v>PPH,MRTSN,WCHTA,PPH,9-1,TP5,NEG,BLK</v>
          </cell>
        </row>
        <row r="62">
          <cell r="H62" t="str">
            <v>PPH-9.P.RED.5.00008</v>
          </cell>
          <cell r="I62" t="str">
            <v>PPH,MRTSN,WCHTA,PPH,9-1,TP6,POS,RED</v>
          </cell>
        </row>
        <row r="63">
          <cell r="H63" t="str">
            <v>PPH-9.N.BLK.0.00008</v>
          </cell>
          <cell r="I63" t="str">
            <v>PPH,MRTSN,WCHTA,PPH,9-1,TP6,NEG,BLK</v>
          </cell>
        </row>
        <row r="64">
          <cell r="H64" t="str">
            <v>PPH-9.P.RED.5.00009</v>
          </cell>
          <cell r="I64" t="str">
            <v>PPH,MRTSN,WCHTA,PPH,9-1,TP7,POS,RED</v>
          </cell>
        </row>
        <row r="65">
          <cell r="H65" t="str">
            <v>PPH-9.N.BLK.0.00009</v>
          </cell>
          <cell r="I65" t="str">
            <v>PPH,MRTSN,WCHTA,PPH,9-1,TP7,NEG,BLK</v>
          </cell>
        </row>
        <row r="66">
          <cell r="H66" t="str">
            <v>PPH-9.P.RED.5.00010</v>
          </cell>
          <cell r="I66" t="str">
            <v>PPH,MRTSN,WCHTA,PPH,9-1,TP8,POS,RED</v>
          </cell>
        </row>
        <row r="67">
          <cell r="H67" t="str">
            <v>PPH-9.N.BLK.0.00010</v>
          </cell>
          <cell r="I67" t="str">
            <v>PPH,MRTSN,WCHTA,PPH,9-1,TP8,NEG,BLK</v>
          </cell>
        </row>
        <row r="68">
          <cell r="H68" t="str">
            <v>PPH-9.P.RED.5.00011</v>
          </cell>
          <cell r="I68" t="str">
            <v>PPH,MRTSN,WCHTA,PPH,9-1,TP9,POS,RED</v>
          </cell>
        </row>
        <row r="69">
          <cell r="H69" t="str">
            <v>PPH-9.N.BLK.0.00011</v>
          </cell>
          <cell r="I69" t="str">
            <v>PPH,MRTSN,WCHTA,PPH,9-1,TP9,NEG,BLK</v>
          </cell>
        </row>
        <row r="70">
          <cell r="H70" t="str">
            <v>PPH-9.P.RED.5.00012</v>
          </cell>
          <cell r="I70" t="str">
            <v>PPH,MRTSN,WCHTA,PPH,9-1,TP10,POS,RED</v>
          </cell>
        </row>
        <row r="71">
          <cell r="H71" t="str">
            <v>PPH-9.N.BLK.0.00012</v>
          </cell>
          <cell r="I71" t="str">
            <v>PPH,MRTSN,WCHTA,PPH,9-1,TP10,NEG,BLK</v>
          </cell>
        </row>
        <row r="72">
          <cell r="H72" t="str">
            <v>PPH-5.P.RED.5.00001</v>
          </cell>
          <cell r="I72" t="str">
            <v>PPH,MRTSN,WCHTA,PPH,5-1,TP1,POS,RED</v>
          </cell>
        </row>
        <row r="73">
          <cell r="H73" t="str">
            <v>PPH-5.N.BLK.0.00015</v>
          </cell>
          <cell r="I73" t="str">
            <v>PPH,MRTSN,WCHTA,PPH,5-1,TP1,NEG,BLK</v>
          </cell>
        </row>
        <row r="74">
          <cell r="H74" t="str">
            <v>PPH-5.P.RED.5.00002</v>
          </cell>
          <cell r="I74" t="str">
            <v>PPH,MRTSN,WCHTA,PPH,5-1,TP2,POS,RED</v>
          </cell>
        </row>
        <row r="75">
          <cell r="H75" t="str">
            <v>PPH-5.N.BLK.0.00016</v>
          </cell>
          <cell r="I75" t="str">
            <v>PPH,MRTSN,WCHTA,PPH,5-1,TP2,NEG,BLK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9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1" t="s">
        <v>27</v>
      </c>
      <c r="B17" s="17">
        <v>465.34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35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topLeftCell="A6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37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39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ignoredErrors>
    <ignoredError sqref="B17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topLeftCell="A4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40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41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topLeftCell="A2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42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43</v>
      </c>
      <c r="B12" s="15" t="s">
        <v>44</v>
      </c>
      <c r="C12" s="16">
        <v>2</v>
      </c>
    </row>
    <row r="13" ht="25" customHeight="1" spans="1:3">
      <c r="A13" s="15" t="s">
        <v>45</v>
      </c>
      <c r="B13" s="15" t="s">
        <v>46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47</v>
      </c>
      <c r="B16" s="15" t="s">
        <v>48</v>
      </c>
      <c r="C16" s="16">
        <v>2</v>
      </c>
    </row>
    <row r="17" ht="25" customHeight="1" spans="1:3">
      <c r="A17" s="11" t="s">
        <v>27</v>
      </c>
      <c r="B17" s="17">
        <v>466.38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49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topLeftCell="A2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50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43</v>
      </c>
      <c r="B12" s="15" t="s">
        <v>44</v>
      </c>
      <c r="C12" s="16">
        <v>2</v>
      </c>
    </row>
    <row r="13" ht="25" customHeight="1" spans="1:3">
      <c r="A13" s="15" t="s">
        <v>45</v>
      </c>
      <c r="B13" s="15" t="s">
        <v>46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47</v>
      </c>
      <c r="B16" s="15" t="s">
        <v>48</v>
      </c>
      <c r="C16" s="16">
        <v>2</v>
      </c>
    </row>
    <row r="17" ht="25" customHeight="1" spans="1:3">
      <c r="A17" s="11" t="s">
        <v>27</v>
      </c>
      <c r="B17" s="17" t="s">
        <v>51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52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ignoredErrors>
    <ignoredError sqref="B17" numberStoredAsText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53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3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54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55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56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topLeftCell="A6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57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58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topLeftCell="A4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59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60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tabSelected="1" view="pageBreakPreview" zoomScale="85" zoomScaleNormal="100" topLeftCell="A4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61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62</v>
      </c>
      <c r="B10" s="15" t="str">
        <f>VLOOKUP(A10,[2]Sheet1!$H:$I,2,0)</f>
        <v>PPH,MRTSN,WCHTA,PPH,10-1,TP4,POS,RED</v>
      </c>
      <c r="C10" s="16">
        <v>7</v>
      </c>
    </row>
    <row r="11" ht="25" customHeight="1" spans="1:3">
      <c r="A11" s="15" t="s">
        <v>63</v>
      </c>
      <c r="B11" s="15" t="str">
        <f>VLOOKUP(A11,[2]Sheet1!$H:$I,2,0)</f>
        <v>PPH,MRTSN,WCHTA,PPH,10-1,TP4,NEG,BLK</v>
      </c>
      <c r="C11" s="16">
        <v>7</v>
      </c>
    </row>
    <row r="12" ht="25" customHeight="1" spans="1:3">
      <c r="A12" s="15" t="s">
        <v>13</v>
      </c>
      <c r="B12" s="15" t="str">
        <f>VLOOKUP(A12,[2]Sheet1!$H:$I,2,0)</f>
        <v>PPH,MRTSN,WCHTA,PPH,9-1,TP1,POS,RED</v>
      </c>
      <c r="C12" s="16">
        <v>3</v>
      </c>
    </row>
    <row r="13" ht="25" customHeight="1" spans="1:3">
      <c r="A13" s="15" t="s">
        <v>15</v>
      </c>
      <c r="B13" s="15" t="str">
        <f>VLOOKUP(A13,[2]Sheet1!$H:$I,2,0)</f>
        <v>PPH,MRTSN,WCHTA,PPH,9-1,TP1,NEG,BLK</v>
      </c>
      <c r="C13" s="16">
        <v>3</v>
      </c>
    </row>
    <row r="14" ht="25" customHeight="1" spans="1:3">
      <c r="A14" s="15" t="s">
        <v>17</v>
      </c>
      <c r="B14" s="15" t="str">
        <f>VLOOKUP(A14,[2]Sheet1!$H:$I,2,0)</f>
        <v>PPH,MRTSN,WCHTA,PPH,9-1,TP2,POS,RED</v>
      </c>
      <c r="C14" s="16">
        <v>1</v>
      </c>
    </row>
    <row r="15" ht="25" customHeight="1" spans="1:3">
      <c r="A15" s="15" t="s">
        <v>19</v>
      </c>
      <c r="B15" s="15" t="str">
        <f>VLOOKUP(A15,[2]Sheet1!$H:$I,2,0)</f>
        <v>PPH,MRTSN,WCHTA,PPH,9-1,TP2,NEG,BLK</v>
      </c>
      <c r="C15" s="16">
        <v>1</v>
      </c>
    </row>
    <row r="16" ht="25" customHeight="1" spans="1:3">
      <c r="A16" s="15" t="s">
        <v>21</v>
      </c>
      <c r="B16" s="15" t="str">
        <f>VLOOKUP(A16,[2]Sheet1!$H:$I,2,0)</f>
        <v>MRTSN,WCHTA,SH,N/S,PAIR 2,#8CU-#6AL</v>
      </c>
      <c r="C16" s="16">
        <v>1</v>
      </c>
    </row>
    <row r="17" ht="25" customHeight="1" spans="1:3">
      <c r="A17" s="15" t="s">
        <v>23</v>
      </c>
      <c r="B17" s="15" t="str">
        <f>VLOOKUP(A17,[2]Sheet1!$H:$I,2,0)</f>
        <v>MRTSN,WCHTA,SH,N/S,PAIR 5,#8CU-#6AL</v>
      </c>
      <c r="C17" s="16">
        <v>1</v>
      </c>
    </row>
    <row r="18" ht="25" customHeight="1" spans="1:3">
      <c r="A18" s="15" t="s">
        <v>25</v>
      </c>
      <c r="B18" s="15" t="str">
        <f>VLOOKUP(A18,[2]Sheet1!$H:$I,2,0)</f>
        <v>MRTSN,WCHTA,SH,N/S,PAIR 10,#8CU-#6AL,XTRACKER</v>
      </c>
      <c r="C18" s="16">
        <v>1</v>
      </c>
    </row>
    <row r="19" ht="25" customHeight="1" spans="1:3">
      <c r="A19" s="11" t="s">
        <v>27</v>
      </c>
      <c r="B19" s="17">
        <v>397.7</v>
      </c>
      <c r="C19" s="17"/>
    </row>
    <row r="20" ht="25" customHeight="1" spans="1:3">
      <c r="A20" s="11" t="s">
        <v>28</v>
      </c>
      <c r="B20" s="12" t="s">
        <v>29</v>
      </c>
      <c r="C20" s="12"/>
    </row>
    <row r="21" ht="25" customHeight="1" spans="1:3">
      <c r="A21" s="11" t="s">
        <v>30</v>
      </c>
      <c r="B21" s="17" t="s">
        <v>31</v>
      </c>
      <c r="C21" s="17"/>
    </row>
    <row r="22" ht="25" customHeight="1" spans="1:3">
      <c r="A22" s="11" t="s">
        <v>32</v>
      </c>
      <c r="B22" s="12" t="s">
        <v>33</v>
      </c>
      <c r="C22" s="12"/>
    </row>
    <row r="23" ht="25" customHeight="1" spans="1:3">
      <c r="A23" s="18" t="s">
        <v>34</v>
      </c>
      <c r="B23" s="17" t="s">
        <v>64</v>
      </c>
      <c r="C23" s="17"/>
    </row>
    <row r="24" ht="25" customHeight="1" spans="1:3">
      <c r="A24" s="19" t="s">
        <v>36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topLeftCell="A6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65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43</v>
      </c>
      <c r="B12" s="15" t="s">
        <v>44</v>
      </c>
      <c r="C12" s="16">
        <v>2</v>
      </c>
    </row>
    <row r="13" ht="25" customHeight="1" spans="1:3">
      <c r="A13" s="15" t="s">
        <v>45</v>
      </c>
      <c r="B13" s="15" t="s">
        <v>46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5" t="s">
        <v>23</v>
      </c>
      <c r="B15" s="15" t="s">
        <v>24</v>
      </c>
      <c r="C15" s="16">
        <v>2</v>
      </c>
    </row>
    <row r="16" ht="25" customHeight="1" spans="1:3">
      <c r="A16" s="15" t="s">
        <v>47</v>
      </c>
      <c r="B16" s="15" t="s">
        <v>48</v>
      </c>
      <c r="C16" s="16">
        <v>2</v>
      </c>
    </row>
    <row r="17" ht="25" customHeight="1" spans="1:3">
      <c r="A17" s="11" t="s">
        <v>27</v>
      </c>
      <c r="B17" s="17" t="s">
        <v>51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66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topLeftCell="A2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67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43</v>
      </c>
      <c r="B12" s="15" t="s">
        <v>44</v>
      </c>
      <c r="C12" s="16">
        <v>2</v>
      </c>
    </row>
    <row r="13" ht="25" customHeight="1" spans="1:3">
      <c r="A13" s="15" t="s">
        <v>45</v>
      </c>
      <c r="B13" s="15" t="s">
        <v>46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5" t="s">
        <v>23</v>
      </c>
      <c r="B15" s="15" t="s">
        <v>24</v>
      </c>
      <c r="C15" s="16">
        <v>2</v>
      </c>
    </row>
    <row r="16" ht="25" customHeight="1" spans="1:3">
      <c r="A16" s="15" t="s">
        <v>47</v>
      </c>
      <c r="B16" s="15" t="s">
        <v>48</v>
      </c>
      <c r="C16" s="16">
        <v>2</v>
      </c>
    </row>
    <row r="17" ht="25" customHeight="1" spans="1:3">
      <c r="A17" s="11" t="s">
        <v>27</v>
      </c>
      <c r="B17" s="17" t="s">
        <v>51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68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ignoredErrors>
    <ignoredError sqref="B17" numberStoredAsText="1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2"/>
  <sheetViews>
    <sheetView tabSelected="1" view="pageBreakPreview" zoomScaleNormal="100" topLeftCell="A5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69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2</v>
      </c>
    </row>
    <row r="11" ht="25" customHeight="1" spans="1:3">
      <c r="A11" s="15" t="s">
        <v>15</v>
      </c>
      <c r="B11" s="15" t="s">
        <v>16</v>
      </c>
      <c r="C11" s="16">
        <v>2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70</v>
      </c>
      <c r="B14" s="15" t="s">
        <v>71</v>
      </c>
      <c r="C14" s="16">
        <v>2</v>
      </c>
    </row>
    <row r="15" ht="25" customHeight="1" spans="1:3">
      <c r="A15" s="13" t="s">
        <v>72</v>
      </c>
      <c r="B15" s="15" t="s">
        <v>73</v>
      </c>
      <c r="C15" s="16">
        <v>2</v>
      </c>
    </row>
    <row r="16" ht="25" customHeight="1" spans="1:3">
      <c r="A16" s="13" t="s">
        <v>74</v>
      </c>
      <c r="B16" s="15" t="s">
        <v>75</v>
      </c>
      <c r="C16" s="16">
        <v>2</v>
      </c>
    </row>
    <row r="17" ht="25" customHeight="1" spans="1:3">
      <c r="A17" s="13" t="s">
        <v>76</v>
      </c>
      <c r="B17" s="15" t="s">
        <v>77</v>
      </c>
      <c r="C17" s="16">
        <v>2</v>
      </c>
    </row>
    <row r="18" ht="25" customHeight="1" spans="1:3">
      <c r="A18" s="13" t="s">
        <v>21</v>
      </c>
      <c r="B18" s="15" t="s">
        <v>22</v>
      </c>
      <c r="C18" s="16">
        <v>2</v>
      </c>
    </row>
    <row r="19" ht="25" customHeight="1" spans="1:3">
      <c r="A19" s="13" t="s">
        <v>78</v>
      </c>
      <c r="B19" s="15" t="s">
        <v>79</v>
      </c>
      <c r="C19" s="16">
        <v>2</v>
      </c>
    </row>
    <row r="20" ht="25" customHeight="1" spans="1:3">
      <c r="A20" s="13" t="s">
        <v>80</v>
      </c>
      <c r="B20" s="15" t="s">
        <v>81</v>
      </c>
      <c r="C20" s="16">
        <v>2</v>
      </c>
    </row>
    <row r="21" ht="25" customHeight="1" spans="1:3">
      <c r="A21" s="11" t="s">
        <v>27</v>
      </c>
      <c r="B21" s="17">
        <v>414.24</v>
      </c>
      <c r="C21" s="17"/>
    </row>
    <row r="22" ht="25" customHeight="1" spans="1:3">
      <c r="A22" s="11" t="s">
        <v>28</v>
      </c>
      <c r="B22" s="12" t="s">
        <v>29</v>
      </c>
      <c r="C22" s="12"/>
    </row>
    <row r="23" ht="25" customHeight="1" spans="1:3">
      <c r="A23" s="11" t="s">
        <v>30</v>
      </c>
      <c r="B23" s="17" t="s">
        <v>31</v>
      </c>
      <c r="C23" s="17"/>
    </row>
    <row r="24" ht="25" customHeight="1" spans="1:3">
      <c r="A24" s="11" t="s">
        <v>32</v>
      </c>
      <c r="B24" s="12" t="s">
        <v>33</v>
      </c>
      <c r="C24" s="12"/>
    </row>
    <row r="25" ht="25" customHeight="1" spans="1:3">
      <c r="A25" s="18" t="s">
        <v>34</v>
      </c>
      <c r="B25" s="17" t="s">
        <v>82</v>
      </c>
      <c r="C25" s="17"/>
    </row>
    <row r="26" ht="25" customHeight="1" spans="1:3">
      <c r="A26" s="19" t="s">
        <v>36</v>
      </c>
      <c r="B26" s="20"/>
      <c r="C26" s="21"/>
    </row>
    <row r="27" ht="146" customHeight="1" spans="1:3">
      <c r="A27" s="22" t="str">
        <f>_xlfn.DISPIMG("ID_58913C71E3164241A1CD2B9CBBBF3137",1)</f>
        <v>=DISPIMG("ID_58913C71E3164241A1CD2B9CBBBF3137",1)</v>
      </c>
      <c r="B27" s="23"/>
      <c r="C27" s="24"/>
    </row>
    <row r="32" spans="1:3">
      <c r="B32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21:C21"/>
    <mergeCell ref="B22:C22"/>
    <mergeCell ref="B23:C23"/>
    <mergeCell ref="B24:C24"/>
    <mergeCell ref="B25:C25"/>
    <mergeCell ref="A27:C27"/>
  </mergeCells>
  <pageMargins left="0.75" right="0.75" top="1" bottom="1" header="0.5" footer="0.5"/>
  <pageSetup paperSize="9" scale="86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2"/>
  <sheetViews>
    <sheetView tabSelected="1" view="pageBreakPreview" zoomScale="85" zoomScaleNormal="100" topLeftCell="A2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83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2</v>
      </c>
    </row>
    <row r="11" ht="25" customHeight="1" spans="1:3">
      <c r="A11" s="15" t="s">
        <v>15</v>
      </c>
      <c r="B11" s="15" t="s">
        <v>16</v>
      </c>
      <c r="C11" s="16">
        <v>2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3" customHeight="1" spans="1:3">
      <c r="A13" s="15" t="s">
        <v>19</v>
      </c>
      <c r="B13" s="15" t="s">
        <v>20</v>
      </c>
      <c r="C13" s="16">
        <v>2</v>
      </c>
    </row>
    <row r="14" ht="23" customHeight="1" spans="1:3">
      <c r="A14" s="15" t="s">
        <v>70</v>
      </c>
      <c r="B14" s="15" t="s">
        <v>71</v>
      </c>
      <c r="C14" s="16">
        <v>2</v>
      </c>
    </row>
    <row r="15" ht="23" customHeight="1" spans="1:3">
      <c r="A15" s="13" t="s">
        <v>72</v>
      </c>
      <c r="B15" s="15" t="s">
        <v>73</v>
      </c>
      <c r="C15" s="16">
        <v>2</v>
      </c>
    </row>
    <row r="16" ht="23" customHeight="1" spans="1:3">
      <c r="A16" s="13" t="s">
        <v>74</v>
      </c>
      <c r="B16" s="15" t="s">
        <v>75</v>
      </c>
      <c r="C16" s="16">
        <v>2</v>
      </c>
    </row>
    <row r="17" ht="23" customHeight="1" spans="1:3">
      <c r="A17" s="13" t="s">
        <v>76</v>
      </c>
      <c r="B17" s="15" t="s">
        <v>77</v>
      </c>
      <c r="C17" s="16">
        <v>2</v>
      </c>
    </row>
    <row r="18" ht="23" customHeight="1" spans="1:3">
      <c r="A18" s="13" t="s">
        <v>21</v>
      </c>
      <c r="B18" s="15" t="s">
        <v>22</v>
      </c>
      <c r="C18" s="16">
        <v>2</v>
      </c>
    </row>
    <row r="19" ht="23" customHeight="1" spans="1:3">
      <c r="A19" s="13" t="s">
        <v>78</v>
      </c>
      <c r="B19" s="15" t="s">
        <v>79</v>
      </c>
      <c r="C19" s="16">
        <v>2</v>
      </c>
    </row>
    <row r="20" ht="25" customHeight="1" spans="1:3">
      <c r="A20" s="13" t="s">
        <v>80</v>
      </c>
      <c r="B20" s="15" t="s">
        <v>81</v>
      </c>
      <c r="C20" s="16">
        <v>2</v>
      </c>
    </row>
    <row r="21" ht="25" customHeight="1" spans="1:3">
      <c r="A21" s="11" t="s">
        <v>27</v>
      </c>
      <c r="B21" s="17">
        <v>414.24</v>
      </c>
      <c r="C21" s="17"/>
    </row>
    <row r="22" ht="25" customHeight="1" spans="1:3">
      <c r="A22" s="11" t="s">
        <v>28</v>
      </c>
      <c r="B22" s="12" t="s">
        <v>29</v>
      </c>
      <c r="C22" s="12"/>
    </row>
    <row r="23" ht="25" customHeight="1" spans="1:3">
      <c r="A23" s="11" t="s">
        <v>30</v>
      </c>
      <c r="B23" s="17" t="s">
        <v>31</v>
      </c>
      <c r="C23" s="17"/>
    </row>
    <row r="24" ht="25" customHeight="1" spans="1:3">
      <c r="A24" s="11" t="s">
        <v>32</v>
      </c>
      <c r="B24" s="12" t="s">
        <v>33</v>
      </c>
      <c r="C24" s="12"/>
    </row>
    <row r="25" ht="25" customHeight="1" spans="1:3">
      <c r="A25" s="18" t="s">
        <v>34</v>
      </c>
      <c r="B25" s="17" t="s">
        <v>84</v>
      </c>
      <c r="C25" s="17"/>
    </row>
    <row r="26" ht="25" customHeight="1" spans="1:3">
      <c r="A26" s="19" t="s">
        <v>36</v>
      </c>
      <c r="B26" s="20"/>
      <c r="C26" s="21"/>
    </row>
    <row r="27" ht="146" customHeight="1" spans="1:3">
      <c r="A27" s="22" t="str">
        <f>_xlfn.DISPIMG("ID_58913C71E3164241A1CD2B9CBBBF3137",1)</f>
        <v>=DISPIMG("ID_58913C71E3164241A1CD2B9CBBBF3137",1)</v>
      </c>
      <c r="B27" s="23"/>
      <c r="C27" s="24"/>
    </row>
    <row r="32" spans="1:3">
      <c r="B32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21:C21"/>
    <mergeCell ref="B22:C22"/>
    <mergeCell ref="B23:C23"/>
    <mergeCell ref="B24:C24"/>
    <mergeCell ref="B25:C25"/>
    <mergeCell ref="A27:C27"/>
  </mergeCells>
  <pageMargins left="0.75" right="0.75" top="1" bottom="1" header="0.5" footer="0.5"/>
  <pageSetup paperSize="9" scale="88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tabSelected="1" view="pageBreakPreview" zoomScale="85" zoomScaleNormal="100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85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86</v>
      </c>
      <c r="C10" s="16">
        <v>5</v>
      </c>
    </row>
    <row r="11" ht="25" customHeight="1" spans="1:3">
      <c r="A11" s="15" t="s">
        <v>15</v>
      </c>
      <c r="B11" s="15" t="s">
        <v>87</v>
      </c>
      <c r="C11" s="16">
        <v>5</v>
      </c>
    </row>
    <row r="12" ht="25" customHeight="1" spans="1:3">
      <c r="A12" s="15" t="s">
        <v>17</v>
      </c>
      <c r="B12" s="15" t="s">
        <v>14</v>
      </c>
      <c r="C12" s="16">
        <v>2</v>
      </c>
    </row>
    <row r="13" ht="25" customHeight="1" spans="1:3">
      <c r="A13" s="15" t="s">
        <v>19</v>
      </c>
      <c r="B13" s="15" t="s">
        <v>16</v>
      </c>
      <c r="C13" s="16">
        <v>2</v>
      </c>
    </row>
    <row r="14" ht="25" customHeight="1" spans="1:3">
      <c r="A14" s="15" t="s">
        <v>43</v>
      </c>
      <c r="B14" s="15" t="s">
        <v>71</v>
      </c>
      <c r="C14" s="16">
        <v>1</v>
      </c>
    </row>
    <row r="15" ht="25" customHeight="1" spans="1:3">
      <c r="A15" s="15" t="s">
        <v>45</v>
      </c>
      <c r="B15" s="15" t="s">
        <v>73</v>
      </c>
      <c r="C15" s="16">
        <v>1</v>
      </c>
    </row>
    <row r="16" ht="25" customHeight="1" spans="1:3">
      <c r="A16" s="15" t="s">
        <v>21</v>
      </c>
      <c r="B16" s="15" t="s">
        <v>75</v>
      </c>
      <c r="C16" s="16">
        <v>2</v>
      </c>
    </row>
    <row r="17" ht="25" customHeight="1" spans="1:3">
      <c r="A17" s="15" t="s">
        <v>23</v>
      </c>
      <c r="B17" s="15" t="s">
        <v>77</v>
      </c>
      <c r="C17" s="16">
        <v>2</v>
      </c>
    </row>
    <row r="18" ht="25" customHeight="1" spans="1:3">
      <c r="A18" s="15" t="s">
        <v>47</v>
      </c>
      <c r="B18" s="15" t="s">
        <v>22</v>
      </c>
      <c r="C18" s="16">
        <v>2</v>
      </c>
    </row>
    <row r="19" ht="25" customHeight="1" spans="1:3">
      <c r="A19" s="11" t="s">
        <v>27</v>
      </c>
      <c r="B19" s="17" t="s">
        <v>88</v>
      </c>
      <c r="C19" s="17"/>
    </row>
    <row r="20" ht="25" customHeight="1" spans="1:3">
      <c r="A20" s="11" t="s">
        <v>28</v>
      </c>
      <c r="B20" s="12" t="s">
        <v>29</v>
      </c>
      <c r="C20" s="12"/>
    </row>
    <row r="21" ht="25" customHeight="1" spans="1:3">
      <c r="A21" s="11" t="s">
        <v>30</v>
      </c>
      <c r="B21" s="17" t="s">
        <v>31</v>
      </c>
      <c r="C21" s="17"/>
    </row>
    <row r="22" ht="25" customHeight="1" spans="1:3">
      <c r="A22" s="11" t="s">
        <v>32</v>
      </c>
      <c r="B22" s="12" t="s">
        <v>33</v>
      </c>
      <c r="C22" s="12"/>
    </row>
    <row r="23" ht="25" customHeight="1" spans="1:3">
      <c r="A23" s="18" t="s">
        <v>34</v>
      </c>
      <c r="B23" s="17" t="s">
        <v>89</v>
      </c>
      <c r="C23" s="17"/>
    </row>
    <row r="24" ht="25" customHeight="1" spans="1:3">
      <c r="A24" s="19" t="s">
        <v>36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ignoredErrors>
    <ignoredError sqref="B19" numberStoredAsText="1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tabSelected="1" view="pageBreakPreview" zoomScale="85" zoomScaleNormal="100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90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86</v>
      </c>
      <c r="C10" s="16">
        <v>5</v>
      </c>
    </row>
    <row r="11" ht="25" customHeight="1" spans="1:3">
      <c r="A11" s="15" t="s">
        <v>15</v>
      </c>
      <c r="B11" s="15" t="s">
        <v>87</v>
      </c>
      <c r="C11" s="16">
        <v>5</v>
      </c>
    </row>
    <row r="12" ht="25" customHeight="1" spans="1:3">
      <c r="A12" s="15" t="s">
        <v>17</v>
      </c>
      <c r="B12" s="15" t="s">
        <v>14</v>
      </c>
      <c r="C12" s="16">
        <v>2</v>
      </c>
    </row>
    <row r="13" ht="25" customHeight="1" spans="1:3">
      <c r="A13" s="15" t="s">
        <v>19</v>
      </c>
      <c r="B13" s="15" t="s">
        <v>16</v>
      </c>
      <c r="C13" s="16">
        <v>2</v>
      </c>
    </row>
    <row r="14" ht="25" customHeight="1" spans="1:3">
      <c r="A14" s="15" t="s">
        <v>43</v>
      </c>
      <c r="B14" s="15" t="s">
        <v>71</v>
      </c>
      <c r="C14" s="16">
        <v>1</v>
      </c>
    </row>
    <row r="15" ht="25" customHeight="1" spans="1:3">
      <c r="A15" s="15" t="s">
        <v>45</v>
      </c>
      <c r="B15" s="15" t="s">
        <v>73</v>
      </c>
      <c r="C15" s="16">
        <v>1</v>
      </c>
    </row>
    <row r="16" ht="25" customHeight="1" spans="1:3">
      <c r="A16" s="15" t="s">
        <v>21</v>
      </c>
      <c r="B16" s="15" t="s">
        <v>75</v>
      </c>
      <c r="C16" s="16">
        <v>2</v>
      </c>
    </row>
    <row r="17" ht="25" customHeight="1" spans="1:3">
      <c r="A17" s="15" t="s">
        <v>23</v>
      </c>
      <c r="B17" s="15" t="s">
        <v>77</v>
      </c>
      <c r="C17" s="16">
        <v>2</v>
      </c>
    </row>
    <row r="18" ht="25" customHeight="1" spans="1:3">
      <c r="A18" s="15" t="s">
        <v>47</v>
      </c>
      <c r="B18" s="15" t="s">
        <v>22</v>
      </c>
      <c r="C18" s="16">
        <v>2</v>
      </c>
    </row>
    <row r="19" ht="25" customHeight="1" spans="1:3">
      <c r="A19" s="11" t="s">
        <v>27</v>
      </c>
      <c r="B19" s="17" t="s">
        <v>88</v>
      </c>
      <c r="C19" s="17"/>
    </row>
    <row r="20" ht="25" customHeight="1" spans="1:3">
      <c r="A20" s="11" t="s">
        <v>28</v>
      </c>
      <c r="B20" s="12" t="s">
        <v>29</v>
      </c>
      <c r="C20" s="12"/>
    </row>
    <row r="21" ht="25" customHeight="1" spans="1:3">
      <c r="A21" s="11" t="s">
        <v>30</v>
      </c>
      <c r="B21" s="17" t="s">
        <v>31</v>
      </c>
      <c r="C21" s="17"/>
    </row>
    <row r="22" ht="25" customHeight="1" spans="1:3">
      <c r="A22" s="11" t="s">
        <v>32</v>
      </c>
      <c r="B22" s="12" t="s">
        <v>33</v>
      </c>
      <c r="C22" s="12"/>
    </row>
    <row r="23" ht="25" customHeight="1" spans="1:3">
      <c r="A23" s="18" t="s">
        <v>34</v>
      </c>
      <c r="B23" s="17" t="s">
        <v>91</v>
      </c>
      <c r="C23" s="17"/>
    </row>
    <row r="24" ht="25" customHeight="1" spans="1:3">
      <c r="A24" s="19" t="s">
        <v>36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topLeftCell="A2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92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93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topLeftCell="A2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94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95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topLeftCell="A2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96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97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ignoredErrors>
    <ignoredError sqref="B17" numberStoredAsText="1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topLeftCell="A2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98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99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topLeftCell="A2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100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101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102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103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104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105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106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107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108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109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110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111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112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113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114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115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116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117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118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119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120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121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122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123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124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125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126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127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128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129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130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131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132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133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>
        <v>38114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43</v>
      </c>
      <c r="B12" s="15" t="s">
        <v>44</v>
      </c>
      <c r="C12" s="16">
        <v>2</v>
      </c>
    </row>
    <row r="13" ht="25" customHeight="1" spans="1:3">
      <c r="A13" s="15" t="s">
        <v>45</v>
      </c>
      <c r="B13" s="15" t="s">
        <v>46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47</v>
      </c>
      <c r="B16" s="15" t="s">
        <v>48</v>
      </c>
      <c r="C16" s="16">
        <v>2</v>
      </c>
    </row>
    <row r="17" ht="25" customHeight="1" spans="1:3">
      <c r="A17" s="11" t="s">
        <v>27</v>
      </c>
      <c r="B17" s="17">
        <v>466.38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134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2"/>
  <sheetViews>
    <sheetView tabSelected="1" view="pageBreakPreview" zoomScale="70" zoomScaleNormal="100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135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2</v>
      </c>
    </row>
    <row r="11" ht="25" customHeight="1" spans="1:3">
      <c r="A11" s="15" t="s">
        <v>15</v>
      </c>
      <c r="B11" s="15" t="s">
        <v>16</v>
      </c>
      <c r="C11" s="16">
        <v>2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70</v>
      </c>
      <c r="B14" s="15" t="s">
        <v>71</v>
      </c>
      <c r="C14" s="16">
        <v>2</v>
      </c>
    </row>
    <row r="15" ht="25" customHeight="1" spans="1:3">
      <c r="A15" s="13" t="s">
        <v>72</v>
      </c>
      <c r="B15" s="15" t="s">
        <v>73</v>
      </c>
      <c r="C15" s="16">
        <v>2</v>
      </c>
    </row>
    <row r="16" ht="25" customHeight="1" spans="1:3">
      <c r="A16" s="13" t="s">
        <v>74</v>
      </c>
      <c r="B16" s="15" t="s">
        <v>75</v>
      </c>
      <c r="C16" s="16">
        <v>2</v>
      </c>
    </row>
    <row r="17" ht="25" customHeight="1" spans="1:3">
      <c r="A17" s="13" t="s">
        <v>76</v>
      </c>
      <c r="B17" s="15" t="s">
        <v>77</v>
      </c>
      <c r="C17" s="16">
        <v>2</v>
      </c>
    </row>
    <row r="18" ht="25" customHeight="1" spans="1:3">
      <c r="A18" s="13" t="s">
        <v>21</v>
      </c>
      <c r="B18" s="15" t="s">
        <v>22</v>
      </c>
      <c r="C18" s="16">
        <v>2</v>
      </c>
    </row>
    <row r="19" ht="25" customHeight="1" spans="1:3">
      <c r="A19" s="13" t="s">
        <v>78</v>
      </c>
      <c r="B19" s="15" t="s">
        <v>79</v>
      </c>
      <c r="C19" s="16">
        <v>2</v>
      </c>
    </row>
    <row r="20" ht="25" customHeight="1" spans="1:3">
      <c r="A20" s="13" t="s">
        <v>80</v>
      </c>
      <c r="B20" s="15" t="s">
        <v>81</v>
      </c>
      <c r="C20" s="16">
        <v>2</v>
      </c>
    </row>
    <row r="21" ht="25" customHeight="1" spans="1:3">
      <c r="A21" s="11" t="s">
        <v>27</v>
      </c>
      <c r="B21" s="17">
        <v>414.24</v>
      </c>
      <c r="C21" s="17"/>
    </row>
    <row r="22" ht="25" customHeight="1" spans="1:3">
      <c r="A22" s="11" t="s">
        <v>28</v>
      </c>
      <c r="B22" s="12" t="s">
        <v>29</v>
      </c>
      <c r="C22" s="12"/>
    </row>
    <row r="23" ht="25" customHeight="1" spans="1:3">
      <c r="A23" s="11" t="s">
        <v>30</v>
      </c>
      <c r="B23" s="17" t="s">
        <v>31</v>
      </c>
      <c r="C23" s="17"/>
    </row>
    <row r="24" ht="25" customHeight="1" spans="1:3">
      <c r="A24" s="11" t="s">
        <v>32</v>
      </c>
      <c r="B24" s="12" t="s">
        <v>33</v>
      </c>
      <c r="C24" s="12"/>
    </row>
    <row r="25" ht="25" customHeight="1" spans="1:3">
      <c r="A25" s="18" t="s">
        <v>34</v>
      </c>
      <c r="B25" s="17" t="s">
        <v>136</v>
      </c>
      <c r="C25" s="17"/>
    </row>
    <row r="26" ht="25" customHeight="1" spans="1:3">
      <c r="A26" s="19" t="s">
        <v>36</v>
      </c>
      <c r="B26" s="20"/>
      <c r="C26" s="21"/>
    </row>
    <row r="27" ht="146" customHeight="1" spans="1:3">
      <c r="A27" s="22" t="str">
        <f>_xlfn.DISPIMG("ID_58913C71E3164241A1CD2B9CBBBF3137",1)</f>
        <v>=DISPIMG("ID_58913C71E3164241A1CD2B9CBBBF3137",1)</v>
      </c>
      <c r="B27" s="23"/>
      <c r="C27" s="24"/>
    </row>
    <row r="32" spans="1:3">
      <c r="B32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21:C21"/>
    <mergeCell ref="B22:C22"/>
    <mergeCell ref="B23:C23"/>
    <mergeCell ref="B24:C24"/>
    <mergeCell ref="B25:C25"/>
    <mergeCell ref="A27:C27"/>
  </mergeCells>
  <pageMargins left="0.75" right="0.75" top="1" bottom="1" header="0.5" footer="0.5"/>
  <pageSetup paperSize="9" scale="86" orientation="portrait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2"/>
  <sheetViews>
    <sheetView tabSelected="1" view="pageBreakPreview" zoomScale="85" zoomScaleNormal="100" topLeftCell="A6" workbookViewId="0">
      <selection activeCell="J9" sqref="J9"/>
    </sheetView>
  </sheetViews>
  <sheetFormatPr defaultColWidth="9.025" defaultRowHeight="13.5" outlineLevelCol="2"/>
  <cols>
    <col min="1" max="1" width="24.4916666666667" style="1" customWidth="1"/>
    <col min="2" max="2" width="46.4" style="1" customWidth="1"/>
    <col min="3" max="3" width="23.5083333333333" style="1" customWidth="1"/>
    <col min="4" max="16384" width="9.02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137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2</v>
      </c>
    </row>
    <row r="11" ht="25" customHeight="1" spans="1:3">
      <c r="A11" s="15" t="s">
        <v>15</v>
      </c>
      <c r="B11" s="15" t="s">
        <v>16</v>
      </c>
      <c r="C11" s="16">
        <v>2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3" customHeight="1" spans="1:3">
      <c r="A13" s="15" t="s">
        <v>19</v>
      </c>
      <c r="B13" s="15" t="s">
        <v>20</v>
      </c>
      <c r="C13" s="16">
        <v>2</v>
      </c>
    </row>
    <row r="14" ht="23" customHeight="1" spans="1:3">
      <c r="A14" s="15" t="s">
        <v>70</v>
      </c>
      <c r="B14" s="15" t="s">
        <v>71</v>
      </c>
      <c r="C14" s="16">
        <v>2</v>
      </c>
    </row>
    <row r="15" ht="23" customHeight="1" spans="1:3">
      <c r="A15" s="13" t="s">
        <v>72</v>
      </c>
      <c r="B15" s="15" t="s">
        <v>73</v>
      </c>
      <c r="C15" s="16">
        <v>2</v>
      </c>
    </row>
    <row r="16" ht="23" customHeight="1" spans="1:3">
      <c r="A16" s="13" t="s">
        <v>74</v>
      </c>
      <c r="B16" s="15" t="s">
        <v>75</v>
      </c>
      <c r="C16" s="16">
        <v>2</v>
      </c>
    </row>
    <row r="17" ht="23" customHeight="1" spans="1:3">
      <c r="A17" s="13" t="s">
        <v>76</v>
      </c>
      <c r="B17" s="15" t="s">
        <v>77</v>
      </c>
      <c r="C17" s="16">
        <v>2</v>
      </c>
    </row>
    <row r="18" ht="23" customHeight="1" spans="1:3">
      <c r="A18" s="13" t="s">
        <v>21</v>
      </c>
      <c r="B18" s="15" t="s">
        <v>22</v>
      </c>
      <c r="C18" s="16">
        <v>2</v>
      </c>
    </row>
    <row r="19" ht="23" customHeight="1" spans="1:3">
      <c r="A19" s="13" t="s">
        <v>78</v>
      </c>
      <c r="B19" s="15" t="s">
        <v>79</v>
      </c>
      <c r="C19" s="16">
        <v>2</v>
      </c>
    </row>
    <row r="20" ht="25" customHeight="1" spans="1:3">
      <c r="A20" s="13" t="s">
        <v>80</v>
      </c>
      <c r="B20" s="15" t="s">
        <v>81</v>
      </c>
      <c r="C20" s="16">
        <v>2</v>
      </c>
    </row>
    <row r="21" ht="25" customHeight="1" spans="1:3">
      <c r="A21" s="11" t="s">
        <v>27</v>
      </c>
      <c r="B21" s="17">
        <v>414.24</v>
      </c>
      <c r="C21" s="17"/>
    </row>
    <row r="22" ht="25" customHeight="1" spans="1:3">
      <c r="A22" s="11" t="s">
        <v>28</v>
      </c>
      <c r="B22" s="12" t="s">
        <v>29</v>
      </c>
      <c r="C22" s="12"/>
    </row>
    <row r="23" ht="25" customHeight="1" spans="1:3">
      <c r="A23" s="11" t="s">
        <v>30</v>
      </c>
      <c r="B23" s="17" t="s">
        <v>31</v>
      </c>
      <c r="C23" s="17"/>
    </row>
    <row r="24" ht="25" customHeight="1" spans="1:3">
      <c r="A24" s="11" t="s">
        <v>32</v>
      </c>
      <c r="B24" s="12" t="s">
        <v>33</v>
      </c>
      <c r="C24" s="12"/>
    </row>
    <row r="25" ht="25" customHeight="1" spans="1:3">
      <c r="A25" s="18" t="s">
        <v>34</v>
      </c>
      <c r="B25" s="17" t="s">
        <v>138</v>
      </c>
      <c r="C25" s="17"/>
    </row>
    <row r="26" ht="25" customHeight="1" spans="1:3">
      <c r="A26" s="19" t="s">
        <v>36</v>
      </c>
      <c r="B26" s="20"/>
      <c r="C26" s="21"/>
    </row>
    <row r="27" ht="146" customHeight="1" spans="1:3">
      <c r="A27" s="22" t="str">
        <f>_xlfn.DISPIMG("ID_58913C71E3164241A1CD2B9CBBBF3137",1)</f>
        <v>=DISPIMG("ID_58913C71E3164241A1CD2B9CBBBF3137",1)</v>
      </c>
      <c r="B27" s="23"/>
      <c r="C27" s="24"/>
    </row>
    <row r="32" spans="1:3">
      <c r="B32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21:C21"/>
    <mergeCell ref="B22:C22"/>
    <mergeCell ref="B23:C23"/>
    <mergeCell ref="B24:C24"/>
    <mergeCell ref="B25:C25"/>
    <mergeCell ref="A27:C27"/>
  </mergeCells>
  <pageMargins left="0.75" right="0.75" top="1" bottom="1" header="0.5" footer="0.5"/>
  <pageSetup paperSize="9" scale="8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40</vt:i4>
      </vt:variant>
    </vt:vector>
  </HeadingPairs>
  <TitlesOfParts>
    <vt:vector size="4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Freundschaftfürimmer</cp:lastModifiedBy>
  <dcterms:created xsi:type="dcterms:W3CDTF">2026-08-15T15:46:00Z</dcterms:created>
  <dcterms:modified xsi:type="dcterms:W3CDTF">2026-09-13T04:35:05Z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8233D36BB3C74614947CD6620D247A80_13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