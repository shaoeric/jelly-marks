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9400" windowHeight="12420" activeTab="1"/>
  </bookViews>
  <sheets>
    <sheet name="说明" sheetId="1" r:id="rId1"/>
    <sheet name="Block 5-8 Packing List" sheetId="2" r:id="rId2"/>
    <sheet name="Batch_01_GW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<sst xmlns="http://schemas.openxmlformats.org/spreadsheetml/2006/main" count="272" uniqueCount="148">
  <si>
    <t>【算柜组合场景 - 验证样例】</t>
  </si>
  <si>
    <t>运行: python3 generate_marks.py "模板-算柜组合场景-验证样例.xlsx"</t>
  </si>
  <si>
    <t xml:space="preserve">  (sheet 名与脚本默认一致, 无需 --sheet/--gw-sheet 参数)</t>
  </si>
  <si>
    <t>预期输出: Marks.xlsx, 共 9 个托盘 sheet (LOT 1-9)。</t>
  </si>
  <si>
    <t/>
  </si>
  <si>
    <t>黄色组(1000 直径轴子, 同色同尺寸可拼盘) -&gt; 5 个托盘:</t>
  </si>
  <si>
    <t xml:space="preserve">  LOT1  CMB.TST.01x2         1050*1050*1150  758.02</t>
  </si>
  <si>
    <t xml:space="preserve">  LOT2  CMB.TST.01+TST.02    1050*1050*1150  806.83  (验证: 奇余额链式拼盘 1+1)</t>
  </si>
  <si>
    <t xml:space="preserve">  LOT3  CMB.TST.02x2         1050*1050*1150  855.64</t>
  </si>
  <si>
    <t xml:space="preserve">  LOT4  CMB.TST.04x1         1050*1050*650   104.76  (验证: 末尾余 1 轴走矮托盘)</t>
  </si>
  <si>
    <t xml:space="preserve">  LOT5  CMB.TST.03x2         1050*1050*1150  224.19  (验证: 3/2、5/2 不可截断整箱一托, 队列跳过它)</t>
  </si>
  <si>
    <t xml:space="preserve">  注: TST.01 行含 EW1/EW2 与 750*350*500/QTY 2 数据, 应被忽略</t>
  </si>
  <si>
    <t>浅色组(750 直径轴子, 2x2 叠放) -&gt; 3 个托盘:</t>
  </si>
  <si>
    <t xml:space="preserve">  LOT6  TST.05+TST.06        1500*750*1150   545.96  (验证: 2+2 满托)</t>
  </si>
  <si>
    <t xml:space="preserve">  LOT7  TST.07+TST.08+TST.09 1500*750*1150   553.92  (验证: 1+1+不可拆 2轴拼满 4 格)</t>
  </si>
  <si>
    <t xml:space="preserve">  LOT8  CMB.TST.10x2         1500*750*650    322.81  (验证: 余 2 轴走矮托盘)</t>
  </si>
  <si>
    <t>无底色组(第 3 个容器, 验证不同颜色不拼盘) -&gt; 1 个托盘:</t>
  </si>
  <si>
    <t xml:space="preserve">  LOT9  CMB.TST.11x2         1050*1050*1150  338.7</t>
  </si>
  <si>
    <t>产品覆盖: PPH 19 列(10-1 T1..T6, 9-1 T1..T10, 5-1 T1..T2)与 SH T1..T11 全部出现;</t>
  </si>
  <si>
    <t xml:space="preserve">  TST.01 中 10-1 T4=0(应视为无产品), TST.11 中 10-1 T4=2(正常入托)。</t>
  </si>
  <si>
    <t>数量模式: 1 个/轴(TST.01/02 大部分)、2 个/轴(TST.01 的 9-1 T6=6、TST.06/11)、</t>
  </si>
  <si>
    <t>3 个/轴(TST.01 行合计 3)、以及不可整除组合(5/3/1、7/3 配 2 轴)。</t>
  </si>
  <si>
    <t>每轴子重量: 1000 直径=28kg、750 直径=25kg; 托盘固定 25kg; PPH 的 RED+BLK 一对按 1 次计重。</t>
  </si>
  <si>
    <t>sheet 名: 主表 'Block 5-8 Packing List', 重量表 'Batch_01_GW' (与默认参数一致)。</t>
  </si>
  <si>
    <t>COMBINER BOX NO.</t>
  </si>
  <si>
    <t>BOX  TYPE</t>
  </si>
  <si>
    <t>Harness Qty</t>
  </si>
  <si>
    <t>PPH</t>
  </si>
  <si>
    <t xml:space="preserve">SH </t>
  </si>
  <si>
    <t>单列</t>
  </si>
  <si>
    <t>Drum Size</t>
  </si>
  <si>
    <t>列数</t>
  </si>
  <si>
    <t>阵列汇总</t>
  </si>
  <si>
    <t>QTY 1</t>
  </si>
  <si>
    <t>阵列汇总EW</t>
  </si>
  <si>
    <t>QTY 2</t>
  </si>
  <si>
    <t>10 -1 T1</t>
  </si>
  <si>
    <t>10 -1 T2</t>
  </si>
  <si>
    <t>10 -1 T3</t>
  </si>
  <si>
    <t>10 -1 T4</t>
  </si>
  <si>
    <t>10 -1 T5</t>
  </si>
  <si>
    <t>10 -1 T6</t>
  </si>
  <si>
    <t>9-1 T1</t>
  </si>
  <si>
    <t>9-1 T2</t>
  </si>
  <si>
    <t>9-1 T3</t>
  </si>
  <si>
    <t>9-1 T4</t>
  </si>
  <si>
    <t>9-1 T5</t>
  </si>
  <si>
    <t>9-1 T6</t>
  </si>
  <si>
    <t>9-1 T7</t>
  </si>
  <si>
    <t>9-1 T8</t>
  </si>
  <si>
    <t>9-1 T9</t>
  </si>
  <si>
    <t>9-1 T10</t>
  </si>
  <si>
    <t>5-1 T1</t>
  </si>
  <si>
    <t>5-1 T2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</si>
  <si>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</si>
  <si>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</si>
  <si>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</si>
  <si>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</si>
  <si>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</si>
  <si>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</si>
  <si>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</si>
  <si>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</si>
  <si>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</si>
  <si>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</si>
  <si>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</si>
  <si>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EW1</t>
  </si>
  <si>
    <t>EW2</t>
  </si>
  <si>
    <t>EW3</t>
  </si>
  <si>
    <t>EW4</t>
  </si>
  <si>
    <t>EW5</t>
  </si>
  <si>
    <t>EW6</t>
  </si>
  <si>
    <t>EW7</t>
  </si>
  <si>
    <t>PPH-10.P.RED.5.00001</t>
  </si>
  <si>
    <t>PPH-10.P.RED.5.00002</t>
  </si>
  <si>
    <t>PPH-10.P.RED.5.00003</t>
  </si>
  <si>
    <t>PPH-10.P.RED.5.00004</t>
  </si>
  <si>
    <t>PPH-10.P.RED.5.00005</t>
  </si>
  <si>
    <t>PPH-10.P.RED.5.00006</t>
  </si>
  <si>
    <t>PPH-9.P.RED.5.00003</t>
  </si>
  <si>
    <t>PPH-9.P.RED.5.00004</t>
  </si>
  <si>
    <t>PPH-9.P.RED.5.00005</t>
  </si>
  <si>
    <t>PPH-9.P.RED.5.00006</t>
  </si>
  <si>
    <t>PPH-9.P.RED.5.00007</t>
  </si>
  <si>
    <t>PPH-9.P.RED.5.00008</t>
  </si>
  <si>
    <t>PPH-9.P.RED.5.00009</t>
  </si>
  <si>
    <t>PPH-9.P.RED.5.00010</t>
  </si>
  <si>
    <t>PPH-9.P.RED.5.00011</t>
  </si>
  <si>
    <t>PPH-9.P.RED.5.00012</t>
  </si>
  <si>
    <t>PPH-5.P.RED.5.00001</t>
  </si>
  <si>
    <t>PPH-5.P.RED.5.00002</t>
  </si>
  <si>
    <t>SH-2.8.RED.BLK.00002</t>
  </si>
  <si>
    <t>SH-2.8.RED.BLK.00003</t>
  </si>
  <si>
    <t>SH-2.8.RED.BLK.00004</t>
  </si>
  <si>
    <t>SH-2.8.RED.BLK.00005</t>
  </si>
  <si>
    <t>SH-2.8.RED.BLK.00006</t>
  </si>
  <si>
    <t>SH-2.8.RED.BLK.00007</t>
  </si>
  <si>
    <t>SH-2.8.RED.BLK.00008</t>
  </si>
  <si>
    <t>SH-2.8.RED.BLK.00009</t>
  </si>
  <si>
    <t>SH-2.8.RED.BLK.00010</t>
  </si>
  <si>
    <t>SH-2.8.RED.BLK.00011</t>
  </si>
  <si>
    <t>SH-2.8.RED.BLK.00012</t>
  </si>
  <si>
    <t>SH-2.8.RED.BLK.00013</t>
  </si>
  <si>
    <t>SH-2.8.RED.BLK.00014</t>
  </si>
  <si>
    <t>SH-2.8.RED.BLK.00015</t>
  </si>
  <si>
    <t>SH-2.8.RED.BLK.00016</t>
  </si>
  <si>
    <t>SH-2.8.RED.BLK.00017</t>
  </si>
  <si>
    <t>SH-2.8.RED.BLK.00018</t>
  </si>
  <si>
    <t>SH-2.8.RED.BLK.00019</t>
  </si>
  <si>
    <t>PPH-10.N.BLK.0.00002</t>
  </si>
  <si>
    <t>PPH-10.N.BLK.0.00003</t>
  </si>
  <si>
    <t>PPH-10.N.BLK.0.00004</t>
  </si>
  <si>
    <t>PPH-10.N.BLK.0.00005</t>
  </si>
  <si>
    <t>PPH-10.N.BLK.0.00006</t>
  </si>
  <si>
    <t>PPH-10.N.BLK.0.00007</t>
  </si>
  <si>
    <t>PPH-9.N.BLK.0.00003</t>
  </si>
  <si>
    <t>PPH-9.N.BLK.0.00004</t>
  </si>
  <si>
    <t>PPH-9.N.BLK.0.00005</t>
  </si>
  <si>
    <t>PPH-9.N.BLK.0.00006</t>
  </si>
  <si>
    <t>PPH-9.N.BLK.0.00007</t>
  </si>
  <si>
    <t>PPH-9.N.BLK.0.00008</t>
  </si>
  <si>
    <t>PPH-9.N.BLK.0.00009</t>
  </si>
  <si>
    <t>PPH-9.N.BLK.0.00010</t>
  </si>
  <si>
    <t>PPH-9.N.BLK.0.00011</t>
  </si>
  <si>
    <t>PPH-9.N.BLK.0.00012</t>
  </si>
  <si>
    <t>PPH-5.N.BLK.0.00015</t>
  </si>
  <si>
    <t>PPH-5.N.BLK.0.00016</t>
  </si>
  <si>
    <t>CMB.TST.01</t>
  </si>
  <si>
    <t>108B</t>
  </si>
  <si>
    <t>1000*350*500</t>
  </si>
  <si>
    <t>750*350*500</t>
  </si>
  <si>
    <t>CMB.TST.02</t>
  </si>
  <si>
    <t>CMB.TST.04</t>
  </si>
  <si>
    <t>72C</t>
  </si>
  <si>
    <t>CMB.TST.03</t>
  </si>
  <si>
    <t>90A</t>
  </si>
  <si>
    <t>CMB.TST.05</t>
  </si>
  <si>
    <t>84D</t>
  </si>
  <si>
    <t>CMB.TST.06</t>
  </si>
  <si>
    <t>CMB.TST.07</t>
  </si>
  <si>
    <t>36B</t>
  </si>
  <si>
    <t>CMB.TST.08</t>
  </si>
  <si>
    <t>CMB.TST.09</t>
  </si>
  <si>
    <t>100A</t>
  </si>
  <si>
    <t>CMB.TST.10</t>
  </si>
  <si>
    <t>CMB.TST.11</t>
  </si>
  <si>
    <t>108A</t>
  </si>
  <si>
    <t>NW</t>
  </si>
  <si>
    <t>SH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</si>
</sst>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0"/>
      <name val="Arial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4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6" borderId="4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4">
    <xf numFmtId="0" fontId="0" fillId="0" borderId="0" xfId="0"/>
    <xf numFmtId="0" fontId="0" fillId="2" borderId="0" xfId="0" applyFill="1"/>
    <xf numFmtId="0" fontId="0" fillId="3" borderId="0" xfId="0" applyFill="1"/>
    <xf numFmtId="0" fontId="1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7"/>
  <sheetViews>
    <sheetView workbookViewId="0">
      <selection activeCell="A1" sqref="A1"/>
    </sheetView>
  </sheetViews>
  <sheetFormatPr defaultColWidth="9" defaultRowHeight="16.8"/>
  <cols>
    <col min="1" max="1" width="110" customWidth="1"/>
  </cols>
  <sheetData>
    <row r="1" spans="1:1">
      <c r="A1" s="3" t="s">
        <v>0</v>
      </c>
    </row>
    <row r="2" spans="1:1">
      <c r="A2" s="3" t="s">
        <v>1</v>
      </c>
    </row>
    <row r="3" spans="1:1">
      <c r="A3" s="3" t="s">
        <v>2</v>
      </c>
    </row>
    <row r="4" spans="1:1">
      <c r="A4" s="3" t="s">
        <v>3</v>
      </c>
    </row>
    <row r="5" spans="1:1">
      <c r="A5" s="3" t="s">
        <v>4</v>
      </c>
    </row>
    <row r="6" spans="1:1">
      <c r="A6" s="3" t="s">
        <v>5</v>
      </c>
    </row>
    <row r="7" spans="1:1">
      <c r="A7" s="3" t="s">
        <v>6</v>
      </c>
    </row>
    <row r="8" spans="1:1">
      <c r="A8" s="3" t="s">
        <v>7</v>
      </c>
    </row>
    <row r="9" spans="1:1">
      <c r="A9" s="3" t="s">
        <v>8</v>
      </c>
    </row>
    <row r="10" spans="1:1">
      <c r="A10" s="3" t="s">
        <v>9</v>
      </c>
    </row>
    <row r="11" spans="1:1">
      <c r="A11" s="3" t="s">
        <v>10</v>
      </c>
    </row>
    <row r="12" spans="1:1">
      <c r="A12" s="3" t="s">
        <v>11</v>
      </c>
    </row>
    <row r="13" spans="1:1">
      <c r="A13" s="3" t="s">
        <v>4</v>
      </c>
    </row>
    <row r="14" spans="1:1">
      <c r="A14" s="3" t="s">
        <v>12</v>
      </c>
    </row>
    <row r="15" spans="1:1">
      <c r="A15" s="3" t="s">
        <v>13</v>
      </c>
    </row>
    <row r="16" spans="1:1">
      <c r="A16" s="3" t="s">
        <v>14</v>
      </c>
    </row>
    <row r="17" spans="1:1">
      <c r="A17" s="3" t="s">
        <v>15</v>
      </c>
    </row>
    <row r="18" spans="1:1">
      <c r="A18" s="3" t="s">
        <v>4</v>
      </c>
    </row>
    <row r="19" spans="1:1">
      <c r="A19" s="3" t="s">
        <v>16</v>
      </c>
    </row>
    <row r="20" spans="1:1">
      <c r="A20" s="3" t="s">
        <v>17</v>
      </c>
    </row>
    <row r="21" spans="1:1">
      <c r="A21" s="3" t="s">
        <v>4</v>
      </c>
    </row>
    <row r="22" spans="1:1">
      <c r="A22" s="3" t="s">
        <v>18</v>
      </c>
    </row>
    <row r="23" spans="1:1">
      <c r="A23" s="3" t="s">
        <v>19</v>
      </c>
    </row>
    <row r="24" spans="1:1">
      <c r="A24" s="3" t="s">
        <v>20</v>
      </c>
    </row>
    <row r="25" spans="1:1">
      <c r="A25" s="3" t="s">
        <v>21</v>
      </c>
    </row>
    <row r="26" spans="1:1">
      <c r="A26" s="3" t="s">
        <v>22</v>
      </c>
    </row>
    <row r="27" spans="1:1">
      <c r="A27" s="3" t="s">
        <v>23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U16"/>
  <sheetViews>
    <sheetView tabSelected="1" workbookViewId="0">
      <pane xSplit="3" topLeftCell="AG1" activePane="topRight" state="frozen"/>
      <selection/>
      <selection pane="topRight" activeCell="AR7" sqref="AR7"/>
    </sheetView>
  </sheetViews>
  <sheetFormatPr defaultColWidth="9" defaultRowHeight="16.8"/>
  <cols>
    <col min="1" max="1" width="15.0576923076923" customWidth="1"/>
    <col min="21" max="21" width="21.7884615384615" customWidth="1"/>
    <col min="22" max="22" width="25.7980769230769" customWidth="1"/>
    <col min="41" max="41" width="18.5769230769231" customWidth="1"/>
  </cols>
  <sheetData>
    <row r="1" spans="1:47">
      <c r="A1" t="s">
        <v>24</v>
      </c>
      <c r="B1" t="s">
        <v>25</v>
      </c>
      <c r="C1" t="s">
        <v>26</v>
      </c>
      <c r="D1" t="s">
        <v>27</v>
      </c>
      <c r="E1" t="s">
        <v>27</v>
      </c>
      <c r="F1" t="s">
        <v>27</v>
      </c>
      <c r="G1" t="s">
        <v>27</v>
      </c>
      <c r="H1" t="s">
        <v>27</v>
      </c>
      <c r="I1" t="s">
        <v>27</v>
      </c>
      <c r="J1" t="s">
        <v>27</v>
      </c>
      <c r="K1" t="s">
        <v>27</v>
      </c>
      <c r="L1" t="s">
        <v>27</v>
      </c>
      <c r="M1" t="s">
        <v>27</v>
      </c>
      <c r="N1" t="s">
        <v>27</v>
      </c>
      <c r="O1" t="s">
        <v>27</v>
      </c>
      <c r="P1" t="s">
        <v>27</v>
      </c>
      <c r="Q1" t="s">
        <v>27</v>
      </c>
      <c r="R1" t="s">
        <v>27</v>
      </c>
      <c r="S1" t="s">
        <v>27</v>
      </c>
      <c r="T1" t="s">
        <v>27</v>
      </c>
      <c r="U1" t="s">
        <v>27</v>
      </c>
      <c r="V1" t="s">
        <v>28</v>
      </c>
      <c r="W1" t="s">
        <v>28</v>
      </c>
      <c r="X1" t="s">
        <v>28</v>
      </c>
      <c r="Y1" t="s">
        <v>28</v>
      </c>
      <c r="Z1" t="s">
        <v>28</v>
      </c>
      <c r="AA1" t="s">
        <v>28</v>
      </c>
      <c r="AB1" t="s">
        <v>28</v>
      </c>
      <c r="AC1" t="s">
        <v>28</v>
      </c>
      <c r="AD1" t="s">
        <v>28</v>
      </c>
      <c r="AE1" t="s">
        <v>28</v>
      </c>
      <c r="AF1" t="s">
        <v>28</v>
      </c>
      <c r="AG1" t="s">
        <v>28</v>
      </c>
      <c r="AH1" t="s">
        <v>28</v>
      </c>
      <c r="AI1" t="s">
        <v>28</v>
      </c>
      <c r="AJ1" t="s">
        <v>28</v>
      </c>
      <c r="AK1" t="s">
        <v>28</v>
      </c>
      <c r="AL1" t="s">
        <v>28</v>
      </c>
      <c r="AM1" t="s">
        <v>28</v>
      </c>
      <c r="AN1" t="s">
        <v>29</v>
      </c>
      <c r="AO1" t="s">
        <v>30</v>
      </c>
      <c r="AP1" t="s">
        <v>31</v>
      </c>
      <c r="AQ1" t="s">
        <v>32</v>
      </c>
      <c r="AR1" t="s">
        <v>33</v>
      </c>
      <c r="AS1" t="s">
        <v>34</v>
      </c>
      <c r="AT1" t="s">
        <v>30</v>
      </c>
      <c r="AU1" t="s">
        <v>35</v>
      </c>
    </row>
    <row r="2" spans="1:47">
      <c r="D2" t="s">
        <v>36</v>
      </c>
      <c r="E2" t="s">
        <v>37</v>
      </c>
      <c r="F2" t="s">
        <v>38</v>
      </c>
      <c r="G2" t="s">
        <v>39</v>
      </c>
      <c r="H2" t="s">
        <v>40</v>
      </c>
      <c r="I2" t="s">
        <v>41</v>
      </c>
      <c r="J2" t="s">
        <v>42</v>
      </c>
      <c r="K2" t="s">
        <v>43</v>
      </c>
      <c r="L2" t="s">
        <v>44</v>
      </c>
      <c r="M2" t="s">
        <v>45</v>
      </c>
      <c r="N2" t="s">
        <v>46</v>
      </c>
      <c r="O2" t="s">
        <v>47</v>
      </c>
      <c r="P2" t="s">
        <v>48</v>
      </c>
      <c r="Q2" t="s">
        <v>49</v>
      </c>
      <c r="R2" t="s">
        <v>50</v>
      </c>
      <c r="S2" t="s">
        <v>51</v>
      </c>
      <c r="T2" t="s">
        <v>52</v>
      </c>
      <c r="U2" t="s">
        <v>53</v>
      </c>
      <c r="V2" t="s">
        <v>54</v>
      </c>
      <c r="W2" t="s">
        <v>55</v>
      </c>
      <c r="X2" t="s">
        <v>56</v>
      </c>
      <c r="Y2" t="s">
        <v>57</v>
      </c>
      <c r="Z2" t="s">
        <v>58</v>
      </c>
      <c r="AA2" t="s">
        <v>59</v>
      </c>
      <c r="AB2" t="s">
        <v>60</v>
      </c>
      <c r="AC2" t="s">
        <v>61</v>
      </c>
      <c r="AD2" t="s">
        <v>62</v>
      </c>
      <c r="AE2" t="s">
        <v>63</v>
      </c>
      <c r="AF2" t="s">
        <v>64</v>
      </c>
      <c r="AG2" t="s">
        <v>65</v>
      </c>
      <c r="AH2" t="s">
        <v>66</v>
      </c>
      <c r="AI2" t="s">
        <v>67</v>
      </c>
      <c r="AJ2" t="s">
        <v>68</v>
      </c>
      <c r="AK2" t="s">
        <v>69</v>
      </c>
      <c r="AL2" t="s">
        <v>70</v>
      </c>
      <c r="AM2" t="s">
        <v>71</v>
      </c>
    </row>
    <row r="4" spans="1:47">
      <c r="D4" t="s">
        <v>72</v>
      </c>
      <c r="E4" t="s">
        <v>73</v>
      </c>
      <c r="F4" t="s">
        <v>74</v>
      </c>
      <c r="G4" t="s">
        <v>75</v>
      </c>
      <c r="H4" t="s">
        <v>76</v>
      </c>
      <c r="I4" t="s">
        <v>77</v>
      </c>
      <c r="J4" t="s">
        <v>78</v>
      </c>
      <c r="K4" t="s">
        <v>79</v>
      </c>
      <c r="L4" t="s">
        <v>80</v>
      </c>
      <c r="M4" t="s">
        <v>81</v>
      </c>
      <c r="N4" t="s">
        <v>82</v>
      </c>
      <c r="O4" t="s">
        <v>83</v>
      </c>
      <c r="P4" t="s">
        <v>84</v>
      </c>
      <c r="Q4" t="s">
        <v>85</v>
      </c>
      <c r="R4" t="s">
        <v>86</v>
      </c>
      <c r="S4" t="s">
        <v>87</v>
      </c>
      <c r="T4" t="s">
        <v>88</v>
      </c>
      <c r="U4" t="s">
        <v>89</v>
      </c>
      <c r="V4" t="s">
        <v>90</v>
      </c>
      <c r="W4" t="s">
        <v>91</v>
      </c>
      <c r="X4" t="s">
        <v>92</v>
      </c>
      <c r="Y4" t="s">
        <v>93</v>
      </c>
      <c r="Z4" t="s">
        <v>94</v>
      </c>
      <c r="AA4" t="s">
        <v>95</v>
      </c>
      <c r="AB4" t="s">
        <v>96</v>
      </c>
      <c r="AC4" t="s">
        <v>97</v>
      </c>
      <c r="AD4" t="s">
        <v>98</v>
      </c>
      <c r="AE4" t="s">
        <v>99</v>
      </c>
      <c r="AF4" t="s">
        <v>100</v>
      </c>
      <c r="AG4" t="s">
        <v>101</v>
      </c>
      <c r="AH4" t="s">
        <v>102</v>
      </c>
      <c r="AI4" t="s">
        <v>103</v>
      </c>
      <c r="AJ4" t="s">
        <v>104</v>
      </c>
      <c r="AK4" t="s">
        <v>105</v>
      </c>
      <c r="AL4" t="s">
        <v>106</v>
      </c>
      <c r="AM4" t="s">
        <v>107</v>
      </c>
    </row>
    <row r="5" spans="1:47">
      <c r="D5" t="s">
        <v>108</v>
      </c>
      <c r="E5" t="s">
        <v>109</v>
      </c>
      <c r="F5" t="s">
        <v>110</v>
      </c>
      <c r="G5" t="s">
        <v>111</v>
      </c>
      <c r="H5" t="s">
        <v>112</v>
      </c>
      <c r="I5" t="s">
        <v>113</v>
      </c>
      <c r="J5" t="s">
        <v>114</v>
      </c>
      <c r="K5" t="s">
        <v>115</v>
      </c>
      <c r="L5" t="s">
        <v>116</v>
      </c>
      <c r="M5" t="s">
        <v>117</v>
      </c>
      <c r="N5" t="s">
        <v>118</v>
      </c>
      <c r="O5" t="s">
        <v>119</v>
      </c>
      <c r="P5" t="s">
        <v>120</v>
      </c>
      <c r="Q5" t="s">
        <v>121</v>
      </c>
      <c r="R5" t="s">
        <v>122</v>
      </c>
      <c r="S5" t="s">
        <v>123</v>
      </c>
      <c r="T5" t="s">
        <v>124</v>
      </c>
      <c r="U5" t="s">
        <v>125</v>
      </c>
    </row>
    <row r="6" spans="1:47">
      <c r="A6" t="s">
        <v>126</v>
      </c>
      <c r="B6" t="s">
        <v>127</v>
      </c>
      <c r="D6">
        <v>3</v>
      </c>
      <c r="E6">
        <v>3</v>
      </c>
      <c r="F6">
        <v>3</v>
      </c>
      <c r="G6">
        <v>0</v>
      </c>
      <c r="J6">
        <v>3</v>
      </c>
      <c r="N6">
        <v>3</v>
      </c>
      <c r="O6">
        <v>6</v>
      </c>
      <c r="T6">
        <v>3</v>
      </c>
      <c r="V6">
        <v>3</v>
      </c>
      <c r="W6">
        <v>3</v>
      </c>
      <c r="Z6">
        <v>3</v>
      </c>
      <c r="AE6">
        <v>3</v>
      </c>
      <c r="AF6">
        <v>3</v>
      </c>
      <c r="AG6">
        <v>4</v>
      </c>
      <c r="AH6">
        <v>8</v>
      </c>
      <c r="AO6" t="s">
        <v>128</v>
      </c>
      <c r="AR6" s="1">
        <v>3</v>
      </c>
      <c r="AT6" t="s">
        <v>129</v>
      </c>
      <c r="AU6">
        <v>1</v>
      </c>
    </row>
    <row r="7" spans="1:47">
      <c r="A7" t="s">
        <v>130</v>
      </c>
      <c r="B7" t="s">
        <v>127</v>
      </c>
      <c r="K7">
        <v>3</v>
      </c>
      <c r="L7">
        <v>3</v>
      </c>
      <c r="M7">
        <v>3</v>
      </c>
      <c r="P7">
        <v>3</v>
      </c>
      <c r="Q7">
        <v>3</v>
      </c>
      <c r="R7">
        <v>3</v>
      </c>
      <c r="S7">
        <v>3</v>
      </c>
      <c r="U7">
        <v>3</v>
      </c>
      <c r="X7">
        <v>3</v>
      </c>
      <c r="Y7">
        <v>3</v>
      </c>
      <c r="AA7">
        <v>3</v>
      </c>
      <c r="AB7">
        <v>3</v>
      </c>
      <c r="AC7">
        <v>3</v>
      </c>
      <c r="AD7">
        <v>3</v>
      </c>
      <c r="AO7" t="s">
        <v>128</v>
      </c>
      <c r="AR7" s="1">
        <v>3</v>
      </c>
    </row>
    <row r="8" spans="1:47">
      <c r="A8" t="s">
        <v>131</v>
      </c>
      <c r="B8" t="s">
        <v>132</v>
      </c>
      <c r="D8">
        <v>1</v>
      </c>
      <c r="J8">
        <v>1</v>
      </c>
      <c r="V8">
        <v>1</v>
      </c>
      <c r="AO8" t="s">
        <v>128</v>
      </c>
      <c r="AR8" s="1">
        <v>1</v>
      </c>
    </row>
    <row r="9" spans="1:47">
      <c r="A9" t="s">
        <v>133</v>
      </c>
      <c r="B9" t="s">
        <v>134</v>
      </c>
      <c r="N9">
        <v>5</v>
      </c>
      <c r="O9">
        <v>3</v>
      </c>
      <c r="W9">
        <v>1</v>
      </c>
      <c r="AO9" t="s">
        <v>128</v>
      </c>
      <c r="AR9" s="1">
        <v>2</v>
      </c>
    </row>
    <row r="10" spans="1:47">
      <c r="A10" t="s">
        <v>135</v>
      </c>
      <c r="B10" t="s">
        <v>136</v>
      </c>
      <c r="D10">
        <v>2</v>
      </c>
      <c r="J10">
        <v>2</v>
      </c>
      <c r="W10">
        <v>2</v>
      </c>
      <c r="AG10">
        <v>2</v>
      </c>
      <c r="AH10">
        <v>4</v>
      </c>
      <c r="AO10" t="s">
        <v>129</v>
      </c>
      <c r="AR10" s="2">
        <v>2</v>
      </c>
    </row>
    <row r="11" spans="1:47">
      <c r="A11" t="s">
        <v>137</v>
      </c>
      <c r="B11" t="s">
        <v>136</v>
      </c>
      <c r="N11">
        <v>4</v>
      </c>
      <c r="R11">
        <v>2</v>
      </c>
      <c r="Z11">
        <v>2</v>
      </c>
      <c r="AE11">
        <v>2</v>
      </c>
      <c r="AO11" t="s">
        <v>129</v>
      </c>
      <c r="AR11" s="2">
        <v>2</v>
      </c>
    </row>
    <row r="12" spans="1:47">
      <c r="A12" t="s">
        <v>138</v>
      </c>
      <c r="B12" t="s">
        <v>139</v>
      </c>
      <c r="K12">
        <v>1</v>
      </c>
      <c r="X12">
        <v>1</v>
      </c>
      <c r="AO12" t="s">
        <v>129</v>
      </c>
      <c r="AR12" s="2">
        <v>1</v>
      </c>
    </row>
    <row r="13" spans="1:47">
      <c r="A13" t="s">
        <v>140</v>
      </c>
      <c r="B13" t="s">
        <v>139</v>
      </c>
      <c r="L13">
        <v>1</v>
      </c>
      <c r="AA13">
        <v>1</v>
      </c>
      <c r="AD13">
        <v>1</v>
      </c>
      <c r="AO13" t="s">
        <v>129</v>
      </c>
      <c r="AR13" s="2">
        <v>1</v>
      </c>
    </row>
    <row r="14" spans="1:47">
      <c r="A14" t="s">
        <v>141</v>
      </c>
      <c r="B14" t="s">
        <v>142</v>
      </c>
      <c r="M14">
        <v>5</v>
      </c>
      <c r="Z14">
        <v>3</v>
      </c>
      <c r="AC14">
        <v>1</v>
      </c>
      <c r="AO14" t="s">
        <v>129</v>
      </c>
      <c r="AR14" s="2">
        <v>2</v>
      </c>
    </row>
    <row r="15" spans="1:47">
      <c r="A15" t="s">
        <v>143</v>
      </c>
      <c r="B15" t="s">
        <v>142</v>
      </c>
      <c r="O15">
        <v>7</v>
      </c>
      <c r="AB15">
        <v>3</v>
      </c>
      <c r="AO15" t="s">
        <v>129</v>
      </c>
      <c r="AR15" s="2">
        <v>2</v>
      </c>
    </row>
    <row r="16" spans="1:47">
      <c r="A16" t="s">
        <v>144</v>
      </c>
      <c r="B16" t="s">
        <v>145</v>
      </c>
      <c r="G16">
        <v>2</v>
      </c>
      <c r="H16">
        <v>4</v>
      </c>
      <c r="I16">
        <v>2</v>
      </c>
      <c r="Q16">
        <v>4</v>
      </c>
      <c r="U16">
        <v>2</v>
      </c>
      <c r="V16">
        <v>2</v>
      </c>
      <c r="AO16" t="s">
        <v>128</v>
      </c>
      <c r="AR16">
        <v>2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0"/>
  <sheetViews>
    <sheetView topLeftCell="A12" workbookViewId="0">
      <selection activeCell="I40" sqref="I40"/>
    </sheetView>
  </sheetViews>
  <sheetFormatPr defaultColWidth="9" defaultRowHeight="16.8"/>
  <cols>
    <col min="2" max="2" width="16.6634615384615" customWidth="1"/>
  </cols>
  <sheetData>
    <row r="1" spans="1:6">
      <c r="A1" t="s">
        <v>24</v>
      </c>
      <c r="C1" t="s">
        <v>146</v>
      </c>
    </row>
    <row r="2" spans="1:6">
      <c r="A2" t="s">
        <v>27</v>
      </c>
      <c r="B2" t="s">
        <v>36</v>
      </c>
      <c r="C2">
        <v>17.79</v>
      </c>
      <c r="F2">
        <f>E2*C2</f>
        <v>0</v>
      </c>
    </row>
    <row r="3" spans="1:6">
      <c r="A3" t="s">
        <v>27</v>
      </c>
      <c r="B3" t="s">
        <v>37</v>
      </c>
      <c r="C3">
        <v>17.79</v>
      </c>
      <c r="F3">
        <f t="shared" ref="F3:F37" si="0">E3*C3</f>
        <v>0</v>
      </c>
    </row>
    <row r="4" spans="1:6">
      <c r="A4" t="s">
        <v>27</v>
      </c>
      <c r="B4" t="s">
        <v>38</v>
      </c>
      <c r="C4">
        <v>17.79</v>
      </c>
      <c r="F4">
        <f t="shared" si="0"/>
        <v>0</v>
      </c>
    </row>
    <row r="5" spans="1:6">
      <c r="A5" t="s">
        <v>27</v>
      </c>
      <c r="B5" t="s">
        <v>39</v>
      </c>
      <c r="C5">
        <v>17.79</v>
      </c>
      <c r="F5">
        <f t="shared" si="0"/>
        <v>0</v>
      </c>
    </row>
    <row r="6" spans="1:6">
      <c r="A6" t="s">
        <v>27</v>
      </c>
      <c r="B6" t="s">
        <v>40</v>
      </c>
      <c r="C6">
        <v>17.79</v>
      </c>
      <c r="F6">
        <f t="shared" si="0"/>
        <v>0</v>
      </c>
    </row>
    <row r="7" spans="1:6">
      <c r="A7" t="s">
        <v>27</v>
      </c>
      <c r="B7" t="s">
        <v>41</v>
      </c>
      <c r="C7">
        <v>17.79</v>
      </c>
      <c r="F7">
        <f t="shared" si="0"/>
        <v>0</v>
      </c>
    </row>
    <row r="8" spans="1:6">
      <c r="A8" t="s">
        <v>27</v>
      </c>
      <c r="B8" t="s">
        <v>42</v>
      </c>
      <c r="C8">
        <v>14.95</v>
      </c>
      <c r="F8">
        <f t="shared" si="0"/>
        <v>0</v>
      </c>
    </row>
    <row r="9" spans="1:6">
      <c r="A9" t="s">
        <v>27</v>
      </c>
      <c r="B9" t="s">
        <v>43</v>
      </c>
      <c r="C9">
        <v>15.59</v>
      </c>
      <c r="E9">
        <v>2</v>
      </c>
      <c r="F9">
        <f t="shared" si="0"/>
        <v>31.18</v>
      </c>
    </row>
    <row r="10" spans="1:6">
      <c r="A10" t="s">
        <v>27</v>
      </c>
      <c r="B10" t="s">
        <v>44</v>
      </c>
      <c r="C10">
        <v>15.46</v>
      </c>
      <c r="E10">
        <v>2</v>
      </c>
      <c r="F10">
        <f t="shared" si="0"/>
        <v>30.92</v>
      </c>
    </row>
    <row r="11" spans="1:6">
      <c r="A11" t="s">
        <v>27</v>
      </c>
      <c r="B11" t="s">
        <v>45</v>
      </c>
      <c r="C11">
        <v>15.46</v>
      </c>
      <c r="E11">
        <v>2</v>
      </c>
      <c r="F11">
        <f t="shared" si="0"/>
        <v>30.92</v>
      </c>
    </row>
    <row r="12" spans="1:6">
      <c r="A12" t="s">
        <v>27</v>
      </c>
      <c r="B12" t="s">
        <v>46</v>
      </c>
      <c r="C12">
        <v>15.21</v>
      </c>
      <c r="F12">
        <f t="shared" si="0"/>
        <v>0</v>
      </c>
    </row>
    <row r="13" spans="1:6">
      <c r="A13" t="s">
        <v>27</v>
      </c>
      <c r="B13" t="s">
        <v>47</v>
      </c>
      <c r="C13">
        <v>14.95</v>
      </c>
      <c r="F13">
        <f t="shared" si="0"/>
        <v>0</v>
      </c>
    </row>
    <row r="14" spans="1:6">
      <c r="A14" t="s">
        <v>27</v>
      </c>
      <c r="B14" t="s">
        <v>48</v>
      </c>
      <c r="C14">
        <v>15.46</v>
      </c>
      <c r="E14">
        <v>2</v>
      </c>
      <c r="F14">
        <f t="shared" si="0"/>
        <v>30.92</v>
      </c>
    </row>
    <row r="15" spans="1:6">
      <c r="A15" t="s">
        <v>27</v>
      </c>
      <c r="B15" t="s">
        <v>49</v>
      </c>
      <c r="C15">
        <v>15.46</v>
      </c>
      <c r="E15">
        <v>2</v>
      </c>
      <c r="F15">
        <f t="shared" si="0"/>
        <v>30.92</v>
      </c>
    </row>
    <row r="16" spans="1:6">
      <c r="A16" t="s">
        <v>27</v>
      </c>
      <c r="B16" t="s">
        <v>50</v>
      </c>
      <c r="C16">
        <v>15.59</v>
      </c>
      <c r="E16">
        <v>2</v>
      </c>
      <c r="F16">
        <f t="shared" si="0"/>
        <v>31.18</v>
      </c>
    </row>
    <row r="17" spans="1:6">
      <c r="A17" t="s">
        <v>27</v>
      </c>
      <c r="B17" t="s">
        <v>51</v>
      </c>
      <c r="C17">
        <v>15.21</v>
      </c>
      <c r="E17">
        <v>2</v>
      </c>
      <c r="F17">
        <f t="shared" si="0"/>
        <v>30.42</v>
      </c>
    </row>
    <row r="18" spans="1:6">
      <c r="A18" t="s">
        <v>27</v>
      </c>
      <c r="B18" t="s">
        <v>52</v>
      </c>
      <c r="C18">
        <v>7.75</v>
      </c>
      <c r="F18">
        <f t="shared" si="0"/>
        <v>0</v>
      </c>
    </row>
    <row r="19" spans="1:6">
      <c r="A19" t="s">
        <v>27</v>
      </c>
      <c r="B19" t="s">
        <v>53</v>
      </c>
      <c r="C19">
        <v>7.75</v>
      </c>
      <c r="E19">
        <v>2</v>
      </c>
      <c r="F19">
        <f t="shared" si="0"/>
        <v>15.5</v>
      </c>
    </row>
    <row r="20" spans="1:6">
      <c r="A20" t="s">
        <v>147</v>
      </c>
      <c r="B20" t="s">
        <v>54</v>
      </c>
      <c r="C20">
        <v>19.02</v>
      </c>
      <c r="F20">
        <f t="shared" si="0"/>
        <v>0</v>
      </c>
    </row>
    <row r="21" spans="1:6">
      <c r="A21" t="s">
        <v>147</v>
      </c>
      <c r="B21" t="s">
        <v>55</v>
      </c>
      <c r="C21">
        <v>22.29</v>
      </c>
      <c r="F21">
        <f t="shared" si="0"/>
        <v>0</v>
      </c>
    </row>
    <row r="22" spans="1:6">
      <c r="A22" t="s">
        <v>147</v>
      </c>
      <c r="B22" t="s">
        <v>56</v>
      </c>
      <c r="C22">
        <v>24.9</v>
      </c>
      <c r="E22">
        <v>2</v>
      </c>
      <c r="F22">
        <f t="shared" si="0"/>
        <v>49.8</v>
      </c>
    </row>
    <row r="23" spans="1:6">
      <c r="A23" t="s">
        <v>147</v>
      </c>
      <c r="B23" t="s">
        <v>57</v>
      </c>
      <c r="C23">
        <v>34.33</v>
      </c>
      <c r="E23">
        <v>2</v>
      </c>
      <c r="F23">
        <f t="shared" si="0"/>
        <v>68.66</v>
      </c>
    </row>
    <row r="24" spans="1:6">
      <c r="A24" t="s">
        <v>147</v>
      </c>
      <c r="B24" t="s">
        <v>58</v>
      </c>
      <c r="C24">
        <v>43.76</v>
      </c>
      <c r="F24">
        <f t="shared" si="0"/>
        <v>0</v>
      </c>
    </row>
    <row r="25" spans="1:6">
      <c r="A25" t="s">
        <v>147</v>
      </c>
      <c r="B25" t="s">
        <v>59</v>
      </c>
      <c r="C25">
        <v>46.82</v>
      </c>
      <c r="E25">
        <v>2</v>
      </c>
      <c r="F25">
        <f t="shared" si="0"/>
        <v>93.64</v>
      </c>
    </row>
    <row r="26" spans="1:6">
      <c r="A26" t="s">
        <v>147</v>
      </c>
      <c r="B26" t="s">
        <v>60</v>
      </c>
      <c r="C26">
        <v>47.72</v>
      </c>
      <c r="E26">
        <v>2</v>
      </c>
      <c r="F26">
        <f t="shared" si="0"/>
        <v>95.44</v>
      </c>
    </row>
    <row r="27" spans="1:6">
      <c r="A27" t="s">
        <v>147</v>
      </c>
      <c r="B27" t="s">
        <v>61</v>
      </c>
      <c r="C27">
        <v>56.25</v>
      </c>
      <c r="E27">
        <v>2</v>
      </c>
      <c r="F27">
        <f t="shared" si="0"/>
        <v>112.5</v>
      </c>
    </row>
    <row r="28" spans="1:6">
      <c r="A28" t="s">
        <v>147</v>
      </c>
      <c r="B28" t="s">
        <v>62</v>
      </c>
      <c r="C28">
        <v>61.32</v>
      </c>
      <c r="E28">
        <v>2</v>
      </c>
      <c r="F28">
        <f t="shared" si="0"/>
        <v>122.64</v>
      </c>
    </row>
    <row r="29" spans="1:6">
      <c r="A29" t="s">
        <v>147</v>
      </c>
      <c r="B29" t="s">
        <v>63</v>
      </c>
      <c r="C29">
        <v>65.68</v>
      </c>
      <c r="F29">
        <f t="shared" si="0"/>
        <v>0</v>
      </c>
    </row>
    <row r="30" spans="1:6">
      <c r="A30" t="s">
        <v>147</v>
      </c>
      <c r="B30" t="s">
        <v>64</v>
      </c>
      <c r="C30">
        <v>66.58</v>
      </c>
      <c r="F30">
        <f t="shared" si="0"/>
        <v>0</v>
      </c>
    </row>
    <row r="31" spans="1:6">
      <c r="A31" t="s">
        <v>147</v>
      </c>
      <c r="B31" t="s">
        <v>65</v>
      </c>
      <c r="C31">
        <v>1.23</v>
      </c>
      <c r="F31">
        <f t="shared" si="0"/>
        <v>0</v>
      </c>
    </row>
    <row r="32" spans="1:6">
      <c r="A32" t="s">
        <v>147</v>
      </c>
      <c r="B32" t="s">
        <v>66</v>
      </c>
      <c r="C32">
        <v>3.27</v>
      </c>
      <c r="F32">
        <f t="shared" si="0"/>
        <v>0</v>
      </c>
    </row>
    <row r="33" spans="1:9">
      <c r="A33" t="s">
        <v>147</v>
      </c>
      <c r="B33" t="s">
        <v>67</v>
      </c>
      <c r="C33">
        <v>5.1</v>
      </c>
      <c r="F33">
        <f t="shared" si="0"/>
        <v>0</v>
      </c>
    </row>
    <row r="34" spans="1:9">
      <c r="A34" t="s">
        <v>147</v>
      </c>
      <c r="B34" t="s">
        <v>68</v>
      </c>
      <c r="C34">
        <v>6.92</v>
      </c>
      <c r="F34">
        <f t="shared" si="0"/>
        <v>0</v>
      </c>
    </row>
    <row r="35" spans="1:9">
      <c r="A35" t="s">
        <v>147</v>
      </c>
      <c r="B35" t="s">
        <v>69</v>
      </c>
      <c r="C35">
        <v>8.73</v>
      </c>
      <c r="F35">
        <f t="shared" si="0"/>
        <v>0</v>
      </c>
    </row>
    <row r="36" spans="1:9">
      <c r="A36" t="s">
        <v>147</v>
      </c>
      <c r="B36" t="s">
        <v>70</v>
      </c>
      <c r="C36">
        <v>10.59</v>
      </c>
      <c r="F36">
        <f t="shared" si="0"/>
        <v>0</v>
      </c>
    </row>
    <row r="37" spans="1:9">
      <c r="A37" t="s">
        <v>147</v>
      </c>
      <c r="B37" t="s">
        <v>71</v>
      </c>
      <c r="C37">
        <v>12.4</v>
      </c>
      <c r="F37">
        <f t="shared" si="0"/>
        <v>0</v>
      </c>
    </row>
    <row r="39" spans="1:9">
      <c r="F39">
        <v>28</v>
      </c>
      <c r="G39">
        <v>2</v>
      </c>
    </row>
    <row r="40" spans="1:9">
      <c r="F40">
        <v>774.64</v>
      </c>
      <c r="G40">
        <f>F39*G39</f>
        <v>56</v>
      </c>
      <c r="H40">
        <v>25</v>
      </c>
      <c r="I40">
        <f>SUM(F40:H40)</f>
        <v>855.64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说明</vt:lpstr>
      <vt:lpstr>Block 5-8 Packing List</vt:lpstr>
      <vt:lpstr>Batch_01_GW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shaobt</cp:lastModifiedBy>
  <dcterms:created xsi:type="dcterms:W3CDTF">2026-08-30T18:33:00Z</dcterms:created>
  <dcterms:modified xsi:type="dcterms:W3CDTF">2026-08-30T18:57:30Z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0A9284C4FF7A9DA69A0C946A3087D715_42</vt:lpwstr>
  </property>
  <property fmtid="{D5CDD505-2E9C-101B-9397-08002B2CF9AE}" pid="3" name="KSOProductBuildVer">
    <vt:lpwstr>2052-12.1.26055.26055</vt:lpwstr>
  </property>
  <property fmtid="{D5CDD505-2E9C-101B-9397-08002B2CF9AE}" pid="4" name="CalculationRule">
    <vt:i4>0</vt:i4>
  </property>
</Properties>
</file>