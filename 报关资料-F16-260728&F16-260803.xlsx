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20"/>
  </bookViews>
  <sheets>
    <sheet name="Invoice" sheetId="1" r:id="rId1"/>
    <sheet name="Packing List" sheetId="2" r:id="rId2"/>
    <sheet name="报关单" sheetId="3" r:id="rId3"/>
    <sheet name="申报要素" sheetId="4" r:id="rId4"/>
  </sheets>
  <definedNames>
    <definedName name="_xlnm.Print_Area" localSheetId="0">Invoice!$A$1:$H$46</definedName>
    <definedName name="_xlnm.Print_Area" localSheetId="1">'Packing List'!$A$1:$J$41</definedName>
    <definedName name="_xlnm.Print_Area" localSheetId="2">报关单!$A$1:$K$23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<sst xmlns="http://schemas.openxmlformats.org/spreadsheetml/2006/main" count="149" uniqueCount="120">
  <si>
    <t>Invoice No.:</t>
  </si>
  <si>
    <t>F16-260728
F16-260803</t>
  </si>
  <si>
    <t>Date:</t>
  </si>
  <si>
    <t>COMMERCIAL INVOICE</t>
  </si>
  <si>
    <t>Buyer</t>
  </si>
  <si>
    <t>Seller</t>
  </si>
  <si>
    <t>Fuse Energy CO.,LTD</t>
  </si>
  <si>
    <t>SUNKEAN ENERGY CO., LTD.</t>
  </si>
  <si>
    <t>Unit 3 Fuse Energy, Here East 3-4 E Bay Ln
London, E20 3BS</t>
  </si>
  <si>
    <t>Building A, No. 2 South Changjiang Road, Xinwu District, Wuxi, Jiangsu, China</t>
  </si>
  <si>
    <r>
      <rPr>
        <sz val="14"/>
        <color theme="1"/>
        <rFont val="Arial Regular"/>
        <charset val="134"/>
      </rPr>
      <t>Contact</t>
    </r>
    <r>
      <rPr>
        <sz val="14"/>
        <color theme="1"/>
        <rFont val="宋体"/>
        <charset val="134"/>
      </rPr>
      <t>：</t>
    </r>
    <r>
      <rPr>
        <sz val="14"/>
        <color theme="1"/>
        <rFont val="Arial Regular"/>
        <charset val="134"/>
      </rPr>
      <t>Mikita Kryvitski</t>
    </r>
  </si>
  <si>
    <t>Contact: Angela</t>
  </si>
  <si>
    <t>Tel: +44 7876 251937</t>
  </si>
  <si>
    <t>Tel: +86 (510)81083036</t>
  </si>
  <si>
    <t>Marks</t>
  </si>
  <si>
    <t>No.</t>
  </si>
  <si>
    <t>Description</t>
  </si>
  <si>
    <t>Item No.</t>
  </si>
  <si>
    <t>Qty</t>
  </si>
  <si>
    <t>Unit Price</t>
  </si>
  <si>
    <t>Line Total</t>
  </si>
  <si>
    <t>MADE IN CHINA
P/NO.: 1-1</t>
  </si>
  <si>
    <t>Wiring Harness</t>
  </si>
  <si>
    <t>BY000201 3M DC Harness</t>
  </si>
  <si>
    <t>BY000202 5M DC Harness</t>
  </si>
  <si>
    <t>BY000203 10M DC Harness</t>
  </si>
  <si>
    <t>DAP Air Shipping cost(USD)</t>
  </si>
  <si>
    <t>Total Amount (USD)</t>
  </si>
  <si>
    <t>Remarks:</t>
  </si>
  <si>
    <r>
      <rPr>
        <sz val="14"/>
        <rFont val="Arial Regular"/>
        <charset val="134"/>
      </rPr>
      <t>Origin</t>
    </r>
    <r>
      <rPr>
        <sz val="14"/>
        <rFont val="方正书宋_GBK"/>
        <charset val="134"/>
      </rPr>
      <t>：</t>
    </r>
  </si>
  <si>
    <t>Made in China</t>
  </si>
  <si>
    <r>
      <rPr>
        <sz val="14"/>
        <rFont val="Arial Regular"/>
        <charset val="134"/>
      </rPr>
      <t>Delivery term</t>
    </r>
    <r>
      <rPr>
        <sz val="14"/>
        <rFont val="方正书宋_GBK"/>
        <charset val="134"/>
      </rPr>
      <t>：</t>
    </r>
  </si>
  <si>
    <t>DAP</t>
  </si>
  <si>
    <r>
      <rPr>
        <sz val="14"/>
        <rFont val="Arial Regular"/>
        <charset val="134"/>
      </rPr>
      <t>Destination</t>
    </r>
    <r>
      <rPr>
        <sz val="14"/>
        <rFont val="方正书宋_GBK"/>
        <charset val="134"/>
      </rPr>
      <t>：</t>
    </r>
  </si>
  <si>
    <t>Shipping Method:</t>
  </si>
  <si>
    <t>By AIR</t>
  </si>
  <si>
    <t>COPYRIGHT @ 2024 SUNKEAN</t>
  </si>
  <si>
    <t>PACKING LIST</t>
  </si>
  <si>
    <t>Qty
(m)</t>
  </si>
  <si>
    <t>Net Weight
(kg)</t>
  </si>
  <si>
    <t>Gross Weight
(kg)</t>
  </si>
  <si>
    <t>Meas (CBM)</t>
  </si>
  <si>
    <t>Total Amount</t>
  </si>
  <si>
    <r>
      <rPr>
        <sz val="14"/>
        <rFont val="Arial Regular"/>
        <charset val="134"/>
      </rPr>
      <t>G.W.</t>
    </r>
    <r>
      <rPr>
        <sz val="14"/>
        <rFont val="方正书宋_GBK"/>
        <charset val="134"/>
      </rPr>
      <t>：</t>
    </r>
  </si>
  <si>
    <t>kg</t>
  </si>
  <si>
    <t>Packed In</t>
  </si>
  <si>
    <t>Pallet</t>
  </si>
  <si>
    <t>中华人民共和国海关出口货物报关单</t>
  </si>
  <si>
    <t>预录入编号：                                                  海关编号：                                                                       页码/页数：</t>
  </si>
  <si>
    <t>境内发货人</t>
  </si>
  <si>
    <t>（91320214MAE7K1E69B）</t>
  </si>
  <si>
    <t>出境关别</t>
  </si>
  <si>
    <t>出口日期</t>
  </si>
  <si>
    <t xml:space="preserve">申报日期
</t>
  </si>
  <si>
    <t xml:space="preserve">备案号
</t>
  </si>
  <si>
    <t>三钧能源（无锡）有限公司</t>
  </si>
  <si>
    <t>境外收货人</t>
  </si>
  <si>
    <t xml:space="preserve">
</t>
  </si>
  <si>
    <t>运输方式</t>
  </si>
  <si>
    <t>运输工具名称及航次号</t>
  </si>
  <si>
    <t>提运单号</t>
  </si>
  <si>
    <t>空运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</si>
  <si>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</si>
  <si>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</si>
  <si>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</si>
  <si>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</si>
  <si>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</si>
  <si>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</si>
  <si>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</si>
  <si>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</si>
  <si>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</si>
  <si>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>指运港</t>
  </si>
  <si>
    <t>离境口岸</t>
  </si>
  <si>
    <t>英国</t>
  </si>
  <si>
    <t>包装种类</t>
  </si>
  <si>
    <t>件数</t>
  </si>
  <si>
    <t>毛重（千克）</t>
  </si>
  <si>
    <t>净重(千克）</t>
  </si>
  <si>
    <t>成交方式</t>
  </si>
  <si>
    <t>运费</t>
  </si>
  <si>
    <t>保费</t>
  </si>
  <si>
    <t>杂费</t>
  </si>
  <si>
    <t>再生木托</t>
  </si>
  <si>
    <t>随附单证及编号</t>
  </si>
  <si>
    <t>标记唛码及备注</t>
  </si>
  <si>
    <t>项号</t>
  </si>
  <si>
    <t>商品编号</t>
  </si>
  <si>
    <t>商品名称及规格型号</t>
  </si>
  <si>
    <t>数量及单位</t>
  </si>
  <si>
    <t>单价/总价/币制</t>
  </si>
  <si>
    <t>原产国（地区）</t>
  </si>
  <si>
    <t>最终目的国（地区）</t>
  </si>
  <si>
    <t>境内货源地</t>
  </si>
  <si>
    <t>征免</t>
  </si>
  <si>
    <t>线束</t>
  </si>
  <si>
    <t>280
1426</t>
  </si>
  <si>
    <t>套</t>
  </si>
  <si>
    <t>中国</t>
  </si>
  <si>
    <t>无锡其他</t>
  </si>
  <si>
    <t>USD</t>
  </si>
  <si>
    <t>TOTAL:</t>
  </si>
  <si>
    <t>特殊关系确认：否</t>
  </si>
  <si>
    <t>价格影响确认：否</t>
  </si>
  <si>
    <t>支付特许权使用费确认：否</t>
  </si>
  <si>
    <t>自报自缴：否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</si>
  <si>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</si>
  <si>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</si>
  <si>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</si>
  <si>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</si>
  <si>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</si>
  <si>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</si>
  <si>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</si>
  <si>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品名：线束</t>
  </si>
  <si>
    <t>英文：wiring harness</t>
  </si>
  <si>
    <t>HS： 8544601290</t>
  </si>
  <si>
    <t>额定电压：2000V</t>
  </si>
  <si>
    <t>型号：无型号</t>
  </si>
  <si>
    <t>结构类型：XLPE绝缘材料+铜+连接器(有接头)+保险丝</t>
  </si>
  <si>
    <t>用途：机械用，连接用</t>
  </si>
  <si>
    <t>无品牌，不享惠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</si>
</sst>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  <numFmt numFmtId="178" formatCode="yyyy&quot;年&quot;m&quot;月&quot;d&quot;日&quot;;@"/>
    <numFmt numFmtId="179" formatCode="yyyy/m/d;@"/>
    <numFmt numFmtId="180" formatCode="#&quot;pcs&quot;"/>
    <numFmt numFmtId="181" formatCode="0.00_ "/>
    <numFmt numFmtId="182" formatCode="0.000_ "/>
    <numFmt numFmtId="183" formatCode="0_ "/>
    <numFmt numFmtId="184" formatCode="#,##0;[Red]#,##0"/>
    <numFmt numFmtId="185" formatCode="\$#,##0.00;\-\$#,##0.00"/>
    <numFmt numFmtId="186" formatCode="#,###;\-#,###"/>
    <numFmt numFmtId="187" formatCode="#,##0_ "/>
    <numFmt numFmtId="188" formatCode="0.00;[Red]0.00"/>
    <numFmt numFmtId="189" formatCode="&quot;消費税( &quot;##&quot; % )&quot;"/>
    <numFmt numFmtId="190" formatCode="[$]ggge&quot;年&quot;m&quot;月&quot;d&quot;日&quot;;@"/>
    <numFmt numFmtId="191" formatCode="#,##0.000;\-#,##0.000"/>
    <numFmt numFmtId="192" formatCode="&quot;消費税(&quot;##&quot; %)&quot;"/>
  </numFmts>
  <fonts count="72">
    <font>
      <sz val="12"/>
      <color theme="1"/>
      <name val="宋体"/>
      <charset val="134"/>
      <scheme val="minor"/>
    </font>
    <font>
      <sz val="11"/>
      <color indexed="8"/>
      <name val="Arial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20"/>
      <name val="宋体"/>
      <charset val="134"/>
      <scheme val="minor"/>
    </font>
    <font>
      <sz val="20"/>
      <name val="楷体_GB2312"/>
      <charset val="134"/>
    </font>
    <font>
      <sz val="12"/>
      <name val="宋体"/>
      <charset val="134"/>
      <scheme val="minor"/>
    </font>
    <font>
      <b/>
      <sz val="28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20"/>
      <name val="宋体"/>
      <charset val="134"/>
    </font>
    <font>
      <sz val="11"/>
      <color theme="1"/>
      <name val="Arial Regular"/>
      <charset val="134"/>
    </font>
    <font>
      <b/>
      <sz val="11"/>
      <color theme="1"/>
      <name val="Arial Regular"/>
      <charset val="134"/>
    </font>
    <font>
      <b/>
      <sz val="24"/>
      <color theme="0"/>
      <name val="Arial Regular"/>
      <charset val="134"/>
    </font>
    <font>
      <sz val="80"/>
      <color rgb="FFC4BD97"/>
      <name val="Arial Regular"/>
      <charset val="134"/>
    </font>
    <font>
      <sz val="13"/>
      <color theme="1"/>
      <name val="Arial Regular"/>
      <charset val="134"/>
    </font>
    <font>
      <sz val="12"/>
      <color theme="1"/>
      <name val="Arial Regular"/>
      <charset val="134"/>
    </font>
    <font>
      <b/>
      <i/>
      <sz val="34"/>
      <color rgb="FF3089D2"/>
      <name val="Arial Regular"/>
      <charset val="134"/>
    </font>
    <font>
      <b/>
      <i/>
      <sz val="30"/>
      <color rgb="FF3089D2"/>
      <name val="Arial Regular"/>
      <charset val="134"/>
    </font>
    <font>
      <sz val="10"/>
      <name val="Arial Regular"/>
      <charset val="134"/>
    </font>
    <font>
      <b/>
      <sz val="28"/>
      <color theme="1"/>
      <name val="Arial Regular"/>
      <charset val="134"/>
    </font>
    <font>
      <b/>
      <sz val="30"/>
      <color rgb="FF9A3522"/>
      <name val="Arial Regular"/>
      <charset val="134"/>
    </font>
    <font>
      <sz val="14"/>
      <name val="Arial Regular"/>
      <charset val="134"/>
    </font>
    <font>
      <b/>
      <sz val="48"/>
      <color theme="1"/>
      <name val="Arial Regular"/>
      <charset val="134"/>
    </font>
    <font>
      <sz val="11"/>
      <name val="Arial Regular"/>
      <charset val="134"/>
    </font>
    <font>
      <b/>
      <sz val="12"/>
      <name val="Arial Regular"/>
      <charset val="134"/>
    </font>
    <font>
      <b/>
      <sz val="14"/>
      <color theme="1"/>
      <name val="Arial Regular"/>
      <charset val="134"/>
    </font>
    <font>
      <sz val="14"/>
      <color theme="1"/>
      <name val="Arial Regular"/>
      <charset val="134"/>
    </font>
    <font>
      <b/>
      <sz val="12"/>
      <color theme="1"/>
      <name val="Arial Regular"/>
      <charset val="134"/>
    </font>
    <font>
      <b/>
      <sz val="11"/>
      <color theme="0"/>
      <name val="Arial Regular"/>
      <charset val="134"/>
    </font>
    <font>
      <b/>
      <sz val="14"/>
      <color theme="0"/>
      <name val="Arial Regular"/>
      <charset val="134"/>
    </font>
    <font>
      <sz val="11"/>
      <color theme="1"/>
      <name val="Calibri"/>
      <charset val="134"/>
    </font>
    <font>
      <sz val="12"/>
      <name val="Arial Regular"/>
      <charset val="134"/>
    </font>
    <font>
      <b/>
      <sz val="16"/>
      <color theme="1"/>
      <name val="Arial Regular"/>
      <charset val="134"/>
    </font>
    <font>
      <sz val="10"/>
      <color theme="1"/>
      <name val="Arial Regular"/>
      <charset val="134"/>
    </font>
    <font>
      <sz val="12"/>
      <color theme="0" tint="-0.349986266670736"/>
      <name val="Arial Regular"/>
      <charset val="134"/>
    </font>
    <font>
      <i/>
      <sz val="12"/>
      <color theme="1"/>
      <name val="Arial Regular"/>
      <charset val="134"/>
    </font>
    <font>
      <u/>
      <sz val="12"/>
      <color rgb="FF800080"/>
      <name val="Arial Regular"/>
      <charset val="134"/>
    </font>
    <font>
      <b/>
      <sz val="14"/>
      <color rgb="FF9A3522"/>
      <name val="Arial Regular"/>
      <charset val="134"/>
    </font>
    <font>
      <b/>
      <sz val="36"/>
      <color theme="1"/>
      <name val="Arial Regular"/>
      <charset val="134"/>
    </font>
    <font>
      <sz val="16"/>
      <color theme="1"/>
      <name val="Arial Regular"/>
      <charset val="128"/>
    </font>
    <font>
      <sz val="16"/>
      <name val="Arial Regular"/>
      <charset val="134"/>
    </font>
    <font>
      <sz val="16"/>
      <color theme="1"/>
      <name val="Arial Regular"/>
      <charset val="134"/>
    </font>
    <font>
      <b/>
      <sz val="14"/>
      <name val="Arial Regular"/>
      <charset val="134"/>
    </font>
    <font>
      <i/>
      <sz val="14"/>
      <color theme="1"/>
      <name val="Arial Regular"/>
      <charset val="134"/>
    </font>
    <font>
      <i/>
      <sz val="10"/>
      <color theme="1"/>
      <name val="Arial Regular"/>
      <charset val="134"/>
    </font>
    <font>
      <i/>
      <sz val="10"/>
      <name val="Arial Regular"/>
      <charset val="134"/>
    </font>
    <font>
      <b/>
      <sz val="10"/>
      <color theme="1"/>
      <name val="Arial Regular"/>
      <charset val="134"/>
    </font>
    <font>
      <b/>
      <sz val="11"/>
      <name val="Arial Regular"/>
      <charset val="134"/>
    </font>
    <font>
      <sz val="11"/>
      <color theme="0" tint="-0.349986266670736"/>
      <name val="Arial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4"/>
      <name val="方正书宋_GBK"/>
      <charset val="134"/>
    </font>
    <font>
      <sz val="14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theme="2" tint="-0.249977111117893"/>
      </left>
      <right style="dotted">
        <color theme="2" tint="-0.249977111117893"/>
      </right>
      <top style="dashed">
        <color theme="2" tint="-0.249977111117893"/>
      </top>
      <bottom/>
      <diagonal/>
    </border>
    <border>
      <left style="dotted">
        <color theme="2" tint="-0.249977111117893"/>
      </left>
      <right style="dotted">
        <color theme="2" tint="-0.249977111117893"/>
      </right>
      <top style="dashed">
        <color theme="2" tint="-0.249977111117893"/>
      </top>
      <bottom/>
      <diagonal/>
    </border>
    <border>
      <left style="dashed">
        <color theme="2" tint="-0.249977111117893"/>
      </left>
      <right style="dashed">
        <color theme="2" tint="-0.249977111117893"/>
      </right>
      <top style="dashed">
        <color theme="2" tint="-0.249977111117893"/>
      </top>
      <bottom/>
      <diagonal/>
    </border>
    <border>
      <left/>
      <right style="dotted">
        <color theme="2" tint="-0.249977111117893"/>
      </right>
      <top style="dotted">
        <color theme="2" tint="-0.249977111117893"/>
      </top>
      <bottom style="dotted">
        <color theme="2" tint="-0.249977111117893"/>
      </bottom>
      <diagonal/>
    </border>
    <border>
      <left style="dashed">
        <color theme="2" tint="-0.249977111117893"/>
      </left>
      <right style="dashed">
        <color theme="2" tint="-0.249977111117893"/>
      </right>
      <top/>
      <bottom/>
      <diagonal/>
    </border>
    <border>
      <left/>
      <right style="dashed">
        <color theme="2" tint="-0.249977111117893"/>
      </right>
      <top/>
      <bottom style="dashed">
        <color theme="2" tint="-0.249977111117893"/>
      </bottom>
      <diagonal/>
    </border>
    <border>
      <left style="dashed">
        <color theme="2" tint="-0.249977111117893"/>
      </left>
      <right style="dashed">
        <color theme="2" tint="-0.249977111117893"/>
      </right>
      <top/>
      <bottom style="dashed">
        <color theme="2" tint="-0.249977111117893"/>
      </bottom>
      <diagonal/>
    </border>
    <border>
      <left style="dotted">
        <color theme="2" tint="-0.249977111117893"/>
      </left>
      <right style="dotted">
        <color theme="2" tint="-0.249977111117893"/>
      </right>
      <top style="dotted">
        <color theme="2" tint="-0.249977111117893"/>
      </top>
      <bottom style="dotted">
        <color theme="2" tint="-0.249977111117893"/>
      </bottom>
      <diagonal/>
    </border>
    <border>
      <left style="dashed">
        <color theme="2" tint="-0.249977111117893"/>
      </left>
      <right style="dotted">
        <color theme="2" tint="-0.249977111117893"/>
      </right>
      <top/>
      <bottom style="dashed">
        <color theme="2" tint="-0.249977111117893"/>
      </bottom>
      <diagonal/>
    </border>
    <border>
      <left/>
      <right style="dotted">
        <color theme="2" tint="-0.249977111117893"/>
      </right>
      <top/>
      <bottom style="dashed">
        <color theme="2" tint="-0.249977111117893"/>
      </bottom>
      <diagonal/>
    </border>
    <border>
      <left style="dotted">
        <color theme="2" tint="-0.249977111117893"/>
      </left>
      <right style="dotted">
        <color theme="2" tint="-0.249977111117893"/>
      </right>
      <top/>
      <bottom style="dashed">
        <color theme="2" tint="-0.249977111117893"/>
      </bottom>
      <diagonal/>
    </border>
    <border>
      <left style="dashed">
        <color theme="2" tint="-0.249977111117893"/>
      </left>
      <right style="dotted">
        <color theme="2" tint="-0.249977111117893"/>
      </right>
      <top style="dashed">
        <color theme="2" tint="-0.249977111117893"/>
      </top>
      <bottom style="dotted">
        <color theme="2" tint="-0.249977111117893"/>
      </bottom>
      <diagonal/>
    </border>
    <border>
      <left style="dotted">
        <color theme="2" tint="-0.249977111117893"/>
      </left>
      <right style="dotted">
        <color theme="2" tint="-0.249977111117893"/>
      </right>
      <top style="dashed">
        <color theme="2" tint="-0.249977111117893"/>
      </top>
      <bottom style="dotted">
        <color theme="2" tint="-0.249977111117893"/>
      </bottom>
      <diagonal/>
    </border>
    <border>
      <left style="dotted">
        <color theme="2" tint="-0.249977111117893"/>
      </left>
      <right style="dashed">
        <color theme="2" tint="-0.249977111117893"/>
      </right>
      <top style="dashed">
        <color theme="2" tint="-0.249977111117893"/>
      </top>
      <bottom style="dotted">
        <color theme="2" tint="-0.249977111117893"/>
      </bottom>
      <diagonal/>
    </border>
    <border>
      <left style="dashed">
        <color theme="2" tint="-0.249977111117893"/>
      </left>
      <right style="dotted">
        <color theme="2" tint="-0.249977111117893"/>
      </right>
      <top style="dotted">
        <color theme="2" tint="-0.249977111117893"/>
      </top>
      <bottom style="dotted">
        <color theme="2" tint="-0.249977111117893"/>
      </bottom>
      <diagonal/>
    </border>
    <border>
      <left style="dashed">
        <color theme="2" tint="-0.249977111117893"/>
      </left>
      <right style="dashed">
        <color theme="2" tint="-0.249977111117893"/>
      </right>
      <top style="dashed">
        <color theme="2" tint="-0.249977111117893"/>
      </top>
      <bottom style="dashed">
        <color theme="2" tint="-0.249977111117893"/>
      </bottom>
      <diagonal/>
    </border>
    <border>
      <left style="dotted">
        <color theme="2" tint="-0.249977111117893"/>
      </left>
      <right/>
      <top style="dotted">
        <color theme="2" tint="-0.249977111117893"/>
      </top>
      <bottom style="dotted">
        <color theme="2" tint="-0.249977111117893"/>
      </bottom>
      <diagonal/>
    </border>
    <border>
      <left/>
      <right style="dashed">
        <color theme="2" tint="-0.249977111117893"/>
      </right>
      <top style="dotted">
        <color theme="2" tint="-0.249977111117893"/>
      </top>
      <bottom style="dotted">
        <color theme="2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9" fillId="0" borderId="0" applyFont="0" applyFill="0" applyBorder="0" applyAlignment="0" applyProtection="0">
      <alignment vertical="center"/>
    </xf>
    <xf numFmtId="44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9" fillId="7" borderId="36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37" applyNumberFormat="0" applyFill="0" applyAlignment="0" applyProtection="0">
      <alignment vertical="center"/>
    </xf>
    <xf numFmtId="0" fontId="56" fillId="0" borderId="37" applyNumberFormat="0" applyFill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" borderId="39" applyNumberFormat="0" applyAlignment="0" applyProtection="0">
      <alignment vertical="center"/>
    </xf>
    <xf numFmtId="0" fontId="59" fillId="9" borderId="40" applyNumberFormat="0" applyAlignment="0" applyProtection="0">
      <alignment vertical="center"/>
    </xf>
    <xf numFmtId="0" fontId="60" fillId="9" borderId="39" applyNumberFormat="0" applyAlignment="0" applyProtection="0">
      <alignment vertical="center"/>
    </xf>
    <xf numFmtId="0" fontId="61" fillId="10" borderId="41" applyNumberFormat="0" applyAlignment="0" applyProtection="0">
      <alignment vertical="center"/>
    </xf>
    <xf numFmtId="0" fontId="62" fillId="0" borderId="42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2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9" fillId="0" borderId="0"/>
  </cellStyleXfs>
  <cellXfs count="25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2" borderId="0" xfId="49" applyFont="1" applyFill="1"/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10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26" fontId="4" fillId="0" borderId="8" xfId="0" applyNumberFormat="1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176" fontId="4" fillId="0" borderId="6" xfId="0" applyNumberFormat="1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right"/>
    </xf>
    <xf numFmtId="0" fontId="5" fillId="2" borderId="15" xfId="49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right"/>
    </xf>
    <xf numFmtId="177" fontId="9" fillId="2" borderId="6" xfId="49" applyNumberFormat="1" applyFont="1" applyFill="1" applyBorder="1"/>
    <xf numFmtId="0" fontId="4" fillId="0" borderId="14" xfId="0" applyFont="1" applyFill="1" applyBorder="1" applyAlignment="1">
      <alignment vertical="center"/>
    </xf>
    <xf numFmtId="0" fontId="5" fillId="2" borderId="9" xfId="49" applyFont="1" applyFill="1" applyBorder="1"/>
    <xf numFmtId="0" fontId="5" fillId="2" borderId="0" xfId="49" applyFont="1" applyFill="1" applyBorder="1"/>
    <xf numFmtId="0" fontId="5" fillId="2" borderId="16" xfId="49" applyFont="1" applyFill="1" applyBorder="1" applyAlignment="1">
      <alignment horizontal="center"/>
    </xf>
    <xf numFmtId="0" fontId="5" fillId="2" borderId="16" xfId="49" applyFont="1" applyFill="1" applyBorder="1"/>
    <xf numFmtId="0" fontId="5" fillId="2" borderId="2" xfId="49" applyFont="1" applyFill="1" applyBorder="1" applyAlignment="1">
      <alignment horizontal="center"/>
    </xf>
    <xf numFmtId="0" fontId="5" fillId="2" borderId="0" xfId="49" applyFont="1" applyFill="1" applyAlignment="1">
      <alignment horizontal="center"/>
    </xf>
    <xf numFmtId="0" fontId="5" fillId="2" borderId="17" xfId="49" applyFont="1" applyFill="1" applyBorder="1"/>
    <xf numFmtId="0" fontId="5" fillId="2" borderId="10" xfId="49" applyFont="1" applyFill="1" applyBorder="1"/>
    <xf numFmtId="0" fontId="5" fillId="2" borderId="0" xfId="49" applyFont="1" applyFill="1" applyBorder="1" applyAlignment="1">
      <alignment horizontal="left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Fill="1" applyAlignment="1">
      <alignment vertical="center"/>
    </xf>
    <xf numFmtId="0" fontId="12" fillId="4" borderId="0" xfId="0" applyFont="1" applyFill="1" applyAlignment="1"/>
    <xf numFmtId="0" fontId="13" fillId="4" borderId="0" xfId="0" applyFont="1" applyFill="1" applyAlignment="1">
      <alignment horizontal="center" vertical="top"/>
    </xf>
    <xf numFmtId="0" fontId="14" fillId="4" borderId="0" xfId="0" applyFont="1" applyFill="1" applyAlignment="1">
      <alignment horizontal="right" vertical="center"/>
    </xf>
    <xf numFmtId="0" fontId="15" fillId="4" borderId="0" xfId="0" applyFont="1" applyFill="1" applyAlignment="1">
      <alignment horizontal="left" vertical="top"/>
    </xf>
    <xf numFmtId="0" fontId="16" fillId="4" borderId="0" xfId="0" applyFont="1" applyFill="1" applyAlignment="1">
      <alignment horizontal="right" vertical="center"/>
    </xf>
    <xf numFmtId="0" fontId="17" fillId="4" borderId="0" xfId="0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left" vertical="top"/>
    </xf>
    <xf numFmtId="0" fontId="18" fillId="4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right" vertical="center"/>
    </xf>
    <xf numFmtId="0" fontId="21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/>
    </xf>
    <xf numFmtId="179" fontId="21" fillId="0" borderId="0" xfId="0" applyNumberFormat="1" applyFont="1" applyFill="1" applyBorder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179" fontId="18" fillId="0" borderId="0" xfId="0" applyNumberFormat="1" applyFont="1" applyFill="1" applyAlignment="1">
      <alignment horizontal="left" vertical="center"/>
    </xf>
    <xf numFmtId="0" fontId="22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5" fillId="0" borderId="0" xfId="0" applyFont="1" applyFill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25" fillId="4" borderId="0" xfId="0" applyFont="1" applyFill="1" applyAlignment="1">
      <alignment vertical="center"/>
    </xf>
    <xf numFmtId="0" fontId="26" fillId="4" borderId="0" xfId="0" applyFont="1" applyFill="1" applyAlignment="1">
      <alignment horizontal="right" vertical="center"/>
    </xf>
    <xf numFmtId="178" fontId="26" fillId="4" borderId="0" xfId="0" applyNumberFormat="1" applyFont="1" applyFill="1" applyAlignment="1">
      <alignment horizontal="left" vertical="top"/>
    </xf>
    <xf numFmtId="0" fontId="27" fillId="0" borderId="0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top"/>
    </xf>
    <xf numFmtId="179" fontId="23" fillId="4" borderId="0" xfId="0" applyNumberFormat="1" applyFont="1" applyFill="1" applyAlignment="1">
      <alignment horizontal="right" vertical="center"/>
    </xf>
    <xf numFmtId="0" fontId="26" fillId="0" borderId="0" xfId="0" applyFont="1" applyFill="1" applyAlignment="1">
      <alignment horizontal="left" vertical="center" wrapText="1"/>
    </xf>
    <xf numFmtId="0" fontId="26" fillId="0" borderId="0" xfId="0" applyFont="1" applyFill="1" applyAlignment="1">
      <alignment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0" fontId="11" fillId="4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0" fillId="4" borderId="0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23" fillId="4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29" fillId="5" borderId="18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 wrapText="1"/>
    </xf>
    <xf numFmtId="0" fontId="29" fillId="5" borderId="20" xfId="0" applyFont="1" applyFill="1" applyBorder="1" applyAlignment="1">
      <alignment horizontal="center" vertical="center" wrapText="1"/>
    </xf>
    <xf numFmtId="0" fontId="29" fillId="5" borderId="1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 wrapText="1"/>
    </xf>
    <xf numFmtId="0" fontId="26" fillId="0" borderId="21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23" xfId="0" applyFont="1" applyFill="1" applyBorder="1" applyAlignment="1">
      <alignment horizontal="center" vertical="center" wrapText="1"/>
    </xf>
    <xf numFmtId="180" fontId="26" fillId="0" borderId="24" xfId="0" applyNumberFormat="1" applyFont="1" applyFill="1" applyBorder="1" applyAlignment="1">
      <alignment horizontal="center" vertical="center" wrapText="1"/>
    </xf>
    <xf numFmtId="181" fontId="26" fillId="0" borderId="25" xfId="0" applyNumberFormat="1" applyFont="1" applyFill="1" applyBorder="1" applyAlignment="1">
      <alignment horizontal="center" vertical="center"/>
    </xf>
    <xf numFmtId="182" fontId="26" fillId="0" borderId="2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30" fillId="0" borderId="11" xfId="0" applyFont="1" applyFill="1" applyBorder="1" applyAlignment="1">
      <alignment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center" vertical="center" wrapText="1"/>
    </xf>
    <xf numFmtId="182" fontId="26" fillId="0" borderId="24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 applyProtection="1">
      <alignment horizontal="center" vertical="center" wrapText="1"/>
      <protection locked="0"/>
    </xf>
    <xf numFmtId="0" fontId="25" fillId="0" borderId="26" xfId="0" applyFont="1" applyFill="1" applyBorder="1" applyAlignment="1" applyProtection="1">
      <alignment horizontal="center" vertical="center" wrapText="1"/>
      <protection locked="0"/>
    </xf>
    <xf numFmtId="0" fontId="25" fillId="0" borderId="27" xfId="0" applyFont="1" applyFill="1" applyBorder="1" applyAlignment="1" applyProtection="1">
      <alignment horizontal="center" vertical="center" wrapText="1"/>
      <protection locked="0"/>
    </xf>
    <xf numFmtId="183" fontId="25" fillId="0" borderId="28" xfId="0" applyNumberFormat="1" applyFont="1" applyFill="1" applyBorder="1" applyAlignment="1" applyProtection="1">
      <alignment horizontal="center" vertical="center" wrapText="1"/>
      <protection locked="0"/>
    </xf>
    <xf numFmtId="181" fontId="25" fillId="0" borderId="28" xfId="0" applyNumberFormat="1" applyFont="1" applyFill="1" applyBorder="1" applyAlignment="1" applyProtection="1">
      <alignment horizontal="center" vertical="center" wrapText="1"/>
      <protection locked="0"/>
    </xf>
    <xf numFmtId="181" fontId="25" fillId="0" borderId="28" xfId="0" applyNumberFormat="1" applyFont="1" applyFill="1" applyBorder="1" applyAlignment="1">
      <alignment horizontal="center" vertical="center"/>
    </xf>
    <xf numFmtId="182" fontId="25" fillId="0" borderId="28" xfId="0" applyNumberFormat="1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21" fillId="0" borderId="29" xfId="0" applyFont="1" applyFill="1" applyBorder="1" applyAlignment="1">
      <alignment horizontal="left" vertic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1" xfId="0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left" vertical="center"/>
    </xf>
    <xf numFmtId="0" fontId="26" fillId="6" borderId="33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21" fillId="0" borderId="32" xfId="0" applyFont="1" applyFill="1" applyBorder="1" applyAlignment="1">
      <alignment horizontal="left" vertical="center"/>
    </xf>
    <xf numFmtId="181" fontId="26" fillId="0" borderId="34" xfId="0" applyNumberFormat="1" applyFont="1" applyFill="1" applyBorder="1" applyAlignment="1">
      <alignment horizontal="center" vertical="center"/>
    </xf>
    <xf numFmtId="0" fontId="26" fillId="0" borderId="35" xfId="0" applyFont="1" applyFill="1" applyBorder="1" applyAlignment="1">
      <alignment vertical="center"/>
    </xf>
    <xf numFmtId="0" fontId="26" fillId="6" borderId="34" xfId="0" applyFont="1" applyFill="1" applyBorder="1" applyAlignment="1">
      <alignment horizontal="center" vertical="center"/>
    </xf>
    <xf numFmtId="0" fontId="26" fillId="6" borderId="35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83" fontId="26" fillId="0" borderId="0" xfId="0" applyNumberFormat="1" applyFont="1" applyFill="1" applyBorder="1" applyAlignment="1">
      <alignment horizontal="left" vertical="center" wrapText="1"/>
    </xf>
    <xf numFmtId="183" fontId="10" fillId="0" borderId="0" xfId="0" applyNumberFormat="1" applyFont="1" applyFill="1" applyBorder="1" applyAlignment="1">
      <alignment horizontal="left" vertical="center" wrapText="1"/>
    </xf>
    <xf numFmtId="183" fontId="10" fillId="0" borderId="0" xfId="0" applyNumberFormat="1" applyFont="1" applyFill="1" applyBorder="1" applyAlignment="1">
      <alignment horizontal="left" vertical="center"/>
    </xf>
    <xf numFmtId="184" fontId="10" fillId="0" borderId="0" xfId="0" applyNumberFormat="1" applyFont="1" applyFill="1" applyBorder="1" applyAlignment="1">
      <alignment horizontal="left" vertical="center"/>
    </xf>
    <xf numFmtId="181" fontId="10" fillId="0" borderId="0" xfId="0" applyNumberFormat="1" applyFont="1" applyFill="1" applyBorder="1" applyAlignment="1">
      <alignment horizontal="right" vertical="center" indent="1"/>
    </xf>
    <xf numFmtId="0" fontId="11" fillId="0" borderId="0" xfId="0" applyFont="1" applyFill="1" applyBorder="1" applyAlignment="1">
      <alignment horizontal="center" vertical="center" wrapText="1"/>
    </xf>
    <xf numFmtId="185" fontId="11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183" fontId="26" fillId="0" borderId="0" xfId="0" applyNumberFormat="1" applyFont="1" applyFill="1" applyBorder="1" applyAlignment="1">
      <alignment vertical="center"/>
    </xf>
    <xf numFmtId="183" fontId="26" fillId="0" borderId="0" xfId="0" applyNumberFormat="1" applyFont="1" applyFill="1" applyBorder="1" applyAlignment="1">
      <alignment horizontal="left" vertical="center"/>
    </xf>
    <xf numFmtId="183" fontId="33" fillId="0" borderId="0" xfId="0" applyNumberFormat="1" applyFont="1" applyFill="1" applyBorder="1" applyAlignment="1">
      <alignment horizontal="left" vertical="center"/>
    </xf>
    <xf numFmtId="0" fontId="33" fillId="0" borderId="0" xfId="0" applyFont="1" applyFill="1" applyBorder="1" applyAlignment="1">
      <alignment vertical="center"/>
    </xf>
    <xf numFmtId="184" fontId="33" fillId="0" borderId="0" xfId="0" applyNumberFormat="1" applyFont="1" applyFill="1" applyBorder="1" applyAlignment="1">
      <alignment horizontal="left" vertical="center"/>
    </xf>
    <xf numFmtId="186" fontId="11" fillId="0" borderId="0" xfId="0" applyNumberFormat="1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186" fontId="10" fillId="0" borderId="0" xfId="0" applyNumberFormat="1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187" fontId="27" fillId="0" borderId="0" xfId="0" applyNumberFormat="1" applyFont="1" applyFill="1" applyBorder="1" applyAlignment="1">
      <alignment horizontal="center" vertical="center"/>
    </xf>
    <xf numFmtId="188" fontId="2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vertical="center" wrapText="1"/>
    </xf>
    <xf numFmtId="187" fontId="27" fillId="0" borderId="0" xfId="0" applyNumberFormat="1" applyFont="1" applyFill="1" applyBorder="1" applyAlignment="1">
      <alignment horizontal="center" vertical="center" wrapText="1"/>
    </xf>
    <xf numFmtId="189" fontId="27" fillId="0" borderId="0" xfId="0" applyNumberFormat="1" applyFont="1" applyFill="1" applyBorder="1" applyAlignment="1">
      <alignment horizontal="right"/>
    </xf>
    <xf numFmtId="0" fontId="34" fillId="0" borderId="0" xfId="0" applyFont="1" applyAlignment="1">
      <alignment horizontal="center" vertical="center"/>
    </xf>
    <xf numFmtId="0" fontId="34" fillId="4" borderId="0" xfId="0" applyFont="1" applyFill="1" applyAlignment="1">
      <alignment vertical="center"/>
    </xf>
    <xf numFmtId="0" fontId="14" fillId="4" borderId="0" xfId="0" applyFont="1" applyFill="1" applyBorder="1" applyAlignment="1">
      <alignment vertical="center"/>
    </xf>
    <xf numFmtId="0" fontId="15" fillId="0" borderId="0" xfId="0" applyFont="1" applyFill="1" applyBorder="1" applyAlignment="1"/>
    <xf numFmtId="49" fontId="14" fillId="0" borderId="0" xfId="0" applyNumberFormat="1" applyFont="1" applyFill="1" applyBorder="1" applyAlignment="1">
      <alignment horizontal="left" vertical="center"/>
    </xf>
    <xf numFmtId="0" fontId="14" fillId="0" borderId="0" xfId="0" applyFont="1" applyFill="1" applyBorder="1" applyAlignment="1"/>
    <xf numFmtId="0" fontId="27" fillId="0" borderId="0" xfId="0" applyFont="1" applyFill="1" applyBorder="1" applyAlignment="1">
      <alignment horizontal="left" vertical="center"/>
    </xf>
    <xf numFmtId="0" fontId="14" fillId="4" borderId="0" xfId="0" applyFont="1" applyFill="1" applyBorder="1" applyAlignment="1"/>
    <xf numFmtId="190" fontId="14" fillId="4" borderId="0" xfId="0" applyNumberFormat="1" applyFont="1" applyFill="1" applyBorder="1" applyAlignment="1">
      <alignment vertical="center"/>
    </xf>
    <xf numFmtId="0" fontId="35" fillId="0" borderId="0" xfId="0" applyFont="1" applyFill="1" applyBorder="1" applyAlignment="1">
      <alignment horizontal="left" vertical="center"/>
    </xf>
    <xf numFmtId="0" fontId="36" fillId="4" borderId="0" xfId="6" applyFont="1" applyFill="1" applyBorder="1" applyAlignment="1">
      <alignment horizontal="center" vertical="center"/>
    </xf>
    <xf numFmtId="0" fontId="36" fillId="4" borderId="0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37" fillId="4" borderId="0" xfId="0" applyFont="1" applyFill="1" applyAlignment="1">
      <alignment horizontal="right" vertical="center"/>
    </xf>
    <xf numFmtId="0" fontId="38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0" fontId="39" fillId="4" borderId="0" xfId="0" applyFont="1" applyFill="1" applyAlignment="1">
      <alignment horizontal="right" vertical="center"/>
    </xf>
    <xf numFmtId="178" fontId="39" fillId="4" borderId="0" xfId="0" applyNumberFormat="1" applyFont="1" applyFill="1" applyAlignment="1">
      <alignment horizontal="left" vertical="top"/>
    </xf>
    <xf numFmtId="0" fontId="40" fillId="0" borderId="0" xfId="0" applyFont="1" applyFill="1" applyAlignment="1">
      <alignment horizontal="left" vertical="center" wrapText="1"/>
    </xf>
    <xf numFmtId="0" fontId="39" fillId="0" borderId="0" xfId="0" applyFont="1" applyFill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24" fillId="0" borderId="0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0" fontId="29" fillId="5" borderId="33" xfId="0" applyFont="1" applyFill="1" applyBorder="1" applyAlignment="1">
      <alignment horizontal="center" vertical="center"/>
    </xf>
    <xf numFmtId="0" fontId="29" fillId="5" borderId="33" xfId="0" applyFont="1" applyFill="1" applyBorder="1" applyAlignment="1">
      <alignment horizontal="center" vertical="center" wrapText="1"/>
    </xf>
    <xf numFmtId="0" fontId="26" fillId="0" borderId="33" xfId="0" applyFont="1" applyFill="1" applyBorder="1" applyAlignment="1">
      <alignment horizontal="center" vertical="center" wrapText="1"/>
    </xf>
    <xf numFmtId="191" fontId="26" fillId="0" borderId="24" xfId="0" applyNumberFormat="1" applyFont="1" applyFill="1" applyBorder="1" applyAlignment="1">
      <alignment horizontal="center" vertical="center"/>
    </xf>
    <xf numFmtId="39" fontId="26" fillId="0" borderId="33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42" fillId="0" borderId="33" xfId="0" applyFont="1" applyFill="1" applyBorder="1" applyAlignment="1" applyProtection="1">
      <alignment horizontal="center" vertical="center" wrapText="1"/>
      <protection locked="0"/>
    </xf>
    <xf numFmtId="0" fontId="25" fillId="0" borderId="0" xfId="0" applyFont="1" applyFill="1" applyBorder="1" applyAlignment="1" applyProtection="1">
      <alignment vertical="center" wrapText="1"/>
      <protection locked="0"/>
    </xf>
    <xf numFmtId="39" fontId="25" fillId="0" borderId="33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1" fillId="0" borderId="33" xfId="0" applyFont="1" applyFill="1" applyBorder="1" applyAlignment="1">
      <alignment horizontal="left" vertical="center"/>
    </xf>
    <xf numFmtId="0" fontId="21" fillId="6" borderId="33" xfId="0" applyFont="1" applyFill="1" applyBorder="1" applyAlignment="1">
      <alignment horizontal="left" vertical="center"/>
    </xf>
    <xf numFmtId="0" fontId="26" fillId="0" borderId="33" xfId="0" applyFont="1" applyFill="1" applyBorder="1" applyAlignment="1">
      <alignment horizontal="left" vertical="center"/>
    </xf>
    <xf numFmtId="0" fontId="26" fillId="0" borderId="33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vertical="center"/>
    </xf>
    <xf numFmtId="183" fontId="43" fillId="0" borderId="0" xfId="0" applyNumberFormat="1" applyFont="1" applyFill="1" applyBorder="1" applyAlignment="1">
      <alignment horizontal="left" vertical="center" wrapText="1"/>
    </xf>
    <xf numFmtId="183" fontId="43" fillId="0" borderId="0" xfId="0" applyNumberFormat="1" applyFont="1" applyFill="1" applyBorder="1" applyAlignment="1">
      <alignment horizontal="left" vertical="center"/>
    </xf>
    <xf numFmtId="184" fontId="43" fillId="0" borderId="0" xfId="0" applyNumberFormat="1" applyFont="1" applyFill="1" applyBorder="1" applyAlignment="1">
      <alignment horizontal="left" vertical="center"/>
    </xf>
    <xf numFmtId="184" fontId="26" fillId="0" borderId="0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left" vertical="center"/>
    </xf>
    <xf numFmtId="183" fontId="43" fillId="0" borderId="0" xfId="0" applyNumberFormat="1" applyFont="1" applyFill="1" applyBorder="1" applyAlignment="1">
      <alignment vertical="center"/>
    </xf>
    <xf numFmtId="0" fontId="43" fillId="4" borderId="0" xfId="0" applyFont="1" applyFill="1" applyBorder="1" applyAlignment="1">
      <alignment vertical="center"/>
    </xf>
    <xf numFmtId="0" fontId="44" fillId="0" borderId="0" xfId="0" applyFont="1" applyFill="1" applyBorder="1" applyAlignment="1">
      <alignment horizontal="left" vertical="center"/>
    </xf>
    <xf numFmtId="183" fontId="44" fillId="0" borderId="0" xfId="0" applyNumberFormat="1" applyFont="1" applyFill="1" applyBorder="1" applyAlignment="1">
      <alignment horizontal="left" vertical="center"/>
    </xf>
    <xf numFmtId="0" fontId="44" fillId="4" borderId="0" xfId="0" applyFont="1" applyFill="1" applyBorder="1" applyAlignment="1">
      <alignment vertical="center"/>
    </xf>
    <xf numFmtId="184" fontId="44" fillId="0" borderId="0" xfId="0" applyNumberFormat="1" applyFont="1" applyFill="1" applyBorder="1" applyAlignment="1">
      <alignment horizontal="left" vertical="center"/>
    </xf>
    <xf numFmtId="184" fontId="33" fillId="0" borderId="0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center" wrapText="1"/>
    </xf>
    <xf numFmtId="187" fontId="46" fillId="0" borderId="0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 wrapText="1"/>
    </xf>
    <xf numFmtId="192" fontId="27" fillId="0" borderId="0" xfId="0" applyNumberFormat="1" applyFont="1" applyFill="1" applyBorder="1" applyAlignment="1">
      <alignment horizontal="right"/>
    </xf>
    <xf numFmtId="0" fontId="47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 indent="1"/>
    </xf>
    <xf numFmtId="0" fontId="48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3089D2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238125</xdr:colOff>
      <xdr:row>2</xdr:row>
      <xdr:rowOff>43815</xdr:rowOff>
    </xdr:from>
    <xdr:to>
      <xdr:col>3</xdr:col>
      <xdr:colOff>0</xdr:colOff>
      <xdr:row>3</xdr:row>
      <xdr:rowOff>287655</xdr:rowOff>
    </xdr:to>
    <xdr:pic>
      <xdr:nvPicPr>
        <xdr:cNvPr id="4" name="图片 3" descr="C:\Users\pc\Desktop\三钧LOGO.png三钧LOGO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22250" y="384810"/>
          <a:ext cx="1982470" cy="384810"/>
        </a:xfrm>
        <a:prstGeom prst="rect">
          <a:avLst/>
        </a:prstGeom>
      </xdr:spPr>
    </xdr:pic>
    <xdr:clientData/>
  </xdr:twoCellAnchor>
  <xdr:twoCellAnchor>
    <xdr:from>
      <xdr:col>4</xdr:col>
      <xdr:colOff>1234440</xdr:colOff>
      <xdr:row>28</xdr:row>
      <xdr:rowOff>37465</xdr:rowOff>
    </xdr:from>
    <xdr:to>
      <xdr:col>7</xdr:col>
      <xdr:colOff>589915</xdr:colOff>
      <xdr:row>33</xdr:row>
      <xdr:rowOff>103505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074920" y="10812145"/>
          <a:ext cx="4093845" cy="1342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68580</xdr:colOff>
      <xdr:row>2</xdr:row>
      <xdr:rowOff>183515</xdr:rowOff>
    </xdr:from>
    <xdr:to>
      <xdr:col>2</xdr:col>
      <xdr:colOff>629920</xdr:colOff>
      <xdr:row>3</xdr:row>
      <xdr:rowOff>328930</xdr:rowOff>
    </xdr:to>
    <xdr:pic>
      <xdr:nvPicPr>
        <xdr:cNvPr id="3" name="图片 2" descr="C:\Users\pc\Desktop\三钧LOGO.png三钧LOGO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37490" y="524510"/>
          <a:ext cx="1992630" cy="38354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8</xdr:col>
      <xdr:colOff>927100</xdr:colOff>
      <xdr:row>31</xdr:row>
      <xdr:rowOff>66040</xdr:rowOff>
    </xdr:to>
    <xdr:pic>
      <xdr:nvPicPr>
        <xdr:cNvPr id="2" name="图片 1"/>
        <xdr:cNvPicPr>
          <a:picLocks noChangeAspect="1"/>
        </xdr:cNvPicPr>
      </xdr:nvPicPr>
      <xdr:blipFill>
        <a:blip r:embed="rId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454140" y="12724130"/>
          <a:ext cx="4198620" cy="1342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22</xdr:row>
      <xdr:rowOff>0</xdr:rowOff>
    </xdr:from>
    <xdr:to>
      <xdr:col>6</xdr:col>
      <xdr:colOff>1153160</xdr:colOff>
      <xdr:row>22</xdr:row>
      <xdr:rowOff>2841625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 rot="21360000">
          <a:off x="8249920" y="13079730"/>
          <a:ext cx="3864610" cy="2841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W54"/>
  <sheetViews>
    <sheetView showGridLines="0" tabSelected="1" view="pageBreakPreview" zoomScale="70" zoomScaleNormal="80" topLeftCell="A6" workbookViewId="0">
      <selection activeCell="H24" sqref="H24"/>
    </sheetView>
  </sheetViews>
  <sheetFormatPr defaultColWidth="10.125" defaultRowHeight="16.8"/>
  <cols>
    <col min="1" max="1" width="3.125" style="77" customWidth="1"/>
    <col min="2" max="2" width="19" style="77" customWidth="1"/>
    <col min="3" max="3" width="8.875" style="77" customWidth="1"/>
    <col min="4" max="4" width="23" style="77" customWidth="1"/>
    <col min="5" max="5" width="32" style="77" customWidth="1"/>
    <col min="6" max="6" width="16.375" style="77" customWidth="1"/>
    <col min="7" max="7" width="18.25" style="77" customWidth="1"/>
    <col min="8" max="8" width="24.875" style="77" customWidth="1"/>
    <col min="9" max="9" width="3.125" style="77" customWidth="1"/>
    <col min="10" max="10" width="15" style="77" customWidth="1"/>
    <col min="11" max="14" width="7.125" style="77" customWidth="1"/>
    <col min="15" max="16" width="2" style="77" customWidth="1"/>
    <col min="17" max="17" width="11.375" style="77"/>
    <col min="18" max="16384" width="10.125" style="77"/>
  </cols>
  <sheetData>
    <row r="1" s="73" customFormat="1" ht="8.1" customHeight="1" spans="1:127">
      <c r="B1" s="78"/>
      <c r="C1" s="78"/>
      <c r="D1" s="78"/>
      <c r="E1" s="78"/>
      <c r="J1" s="79"/>
      <c r="K1" s="79"/>
      <c r="L1" s="79"/>
      <c r="M1" s="79"/>
      <c r="N1" s="79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</row>
    <row r="2" ht="18.75" customHeight="1" spans="1:127">
      <c r="A2" s="73"/>
      <c r="B2" s="73"/>
      <c r="C2" s="80"/>
      <c r="D2" s="82"/>
      <c r="I2" s="83"/>
      <c r="J2" s="83"/>
      <c r="K2" s="83"/>
      <c r="L2" s="83"/>
      <c r="M2" s="83"/>
      <c r="N2" s="83"/>
      <c r="O2" s="73"/>
      <c r="P2" s="73"/>
    </row>
    <row r="3" ht="11.1" customHeight="1" spans="1:127">
      <c r="A3" s="73"/>
      <c r="B3" s="73"/>
      <c r="C3" s="80"/>
      <c r="D3" s="82"/>
      <c r="G3" s="85"/>
      <c r="H3" s="86"/>
      <c r="I3" s="83"/>
      <c r="J3" s="83"/>
      <c r="K3" s="83"/>
      <c r="L3" s="83"/>
      <c r="M3" s="83"/>
      <c r="N3" s="83"/>
      <c r="O3" s="73"/>
      <c r="P3" s="73"/>
    </row>
    <row r="4" ht="43.2" spans="1:127">
      <c r="A4" s="73"/>
      <c r="B4" s="73"/>
      <c r="C4" s="80"/>
      <c r="D4" s="84"/>
      <c r="F4" s="202"/>
      <c r="G4" s="89" t="s">
        <v>0</v>
      </c>
      <c r="H4" s="90" t="s">
        <v>1</v>
      </c>
      <c r="I4" s="88"/>
      <c r="J4" s="88"/>
      <c r="K4" s="88"/>
      <c r="L4" s="88"/>
      <c r="M4" s="88"/>
      <c r="N4" s="88"/>
      <c r="O4" s="73"/>
      <c r="P4" s="73"/>
    </row>
    <row r="5" ht="24.95" customHeight="1" spans="1:127">
      <c r="A5" s="73"/>
      <c r="B5" s="73"/>
      <c r="C5" s="80"/>
      <c r="D5" s="84"/>
      <c r="E5" s="87"/>
      <c r="F5" s="203"/>
      <c r="G5" s="89" t="s">
        <v>2</v>
      </c>
      <c r="H5" s="91">
        <v>46261</v>
      </c>
      <c r="I5" s="88"/>
      <c r="J5" s="88"/>
      <c r="K5" s="88"/>
      <c r="L5" s="88"/>
      <c r="M5" s="88"/>
      <c r="N5" s="88"/>
      <c r="O5" s="73"/>
      <c r="P5" s="73"/>
    </row>
    <row r="6" customFormat="1" ht="99.95" customHeight="1" spans="1:127">
      <c r="A6" s="73"/>
      <c r="B6" s="73"/>
      <c r="C6" s="80"/>
      <c r="D6" s="84"/>
      <c r="E6" s="87"/>
      <c r="F6" s="88"/>
      <c r="G6" s="92"/>
      <c r="H6" s="93"/>
      <c r="I6" s="88"/>
      <c r="J6" s="88"/>
      <c r="K6" s="88"/>
      <c r="L6" s="88"/>
      <c r="M6" s="88"/>
      <c r="N6" s="88"/>
      <c r="O6" s="73"/>
      <c r="P6" s="73"/>
    </row>
    <row r="7" s="77" customFormat="1" ht="63" customHeight="1" spans="1:127">
      <c r="A7" s="73"/>
      <c r="B7" s="73"/>
      <c r="C7" s="80"/>
      <c r="D7" s="84"/>
      <c r="E7" s="204" t="s">
        <v>3</v>
      </c>
      <c r="F7" s="88"/>
      <c r="G7" s="88"/>
      <c r="H7" s="88"/>
      <c r="I7" s="88"/>
      <c r="J7" s="88"/>
      <c r="K7" s="88"/>
      <c r="L7" s="88"/>
      <c r="M7" s="88"/>
      <c r="N7" s="88"/>
      <c r="O7" s="73"/>
      <c r="P7" s="73"/>
    </row>
    <row r="8" ht="24.95" customHeight="1" spans="1:127">
      <c r="A8" s="73"/>
      <c r="B8" s="73"/>
      <c r="C8" s="80"/>
      <c r="D8" s="84"/>
      <c r="E8" s="87"/>
      <c r="F8" s="88"/>
      <c r="G8" s="88"/>
      <c r="H8" s="88"/>
      <c r="I8" s="88"/>
      <c r="J8" s="88"/>
      <c r="K8" s="88"/>
      <c r="L8" s="88"/>
      <c r="M8" s="88"/>
      <c r="N8" s="88"/>
      <c r="O8" s="73"/>
      <c r="P8" s="73"/>
    </row>
    <row r="9" ht="20.1" customHeight="1" spans="1:127">
      <c r="A9" s="73"/>
      <c r="B9" s="96" t="s">
        <v>4</v>
      </c>
      <c r="C9" s="96"/>
      <c r="D9" s="96"/>
      <c r="E9" s="96"/>
      <c r="F9" s="97" t="s">
        <v>5</v>
      </c>
      <c r="G9" s="97"/>
      <c r="H9" s="97"/>
      <c r="I9" s="98"/>
      <c r="J9" s="98"/>
      <c r="K9" s="88"/>
      <c r="L9" s="88"/>
      <c r="M9" s="88"/>
      <c r="N9" s="88"/>
      <c r="O9" s="73"/>
      <c r="P9" s="73"/>
    </row>
    <row r="10" ht="20.1" customHeight="1" spans="1:127">
      <c r="A10" s="73"/>
      <c r="B10" s="99" t="s">
        <v>6</v>
      </c>
      <c r="C10" s="99"/>
      <c r="D10" s="99"/>
      <c r="E10" s="100"/>
      <c r="F10" s="205" t="s">
        <v>7</v>
      </c>
      <c r="G10" s="206"/>
      <c r="H10" s="207"/>
      <c r="I10" s="104"/>
      <c r="J10" s="104"/>
      <c r="K10" s="105"/>
      <c r="L10" s="106"/>
      <c r="M10" s="106"/>
      <c r="N10" s="106"/>
      <c r="O10" s="73"/>
      <c r="P10" s="73"/>
    </row>
    <row r="11" ht="42.95" customHeight="1" spans="1:127">
      <c r="A11" s="73"/>
      <c r="B11" s="107" t="s">
        <v>8</v>
      </c>
      <c r="C11" s="107"/>
      <c r="D11" s="107"/>
      <c r="E11" s="108"/>
      <c r="F11" s="208" t="s">
        <v>9</v>
      </c>
      <c r="G11" s="208"/>
      <c r="H11" s="208"/>
      <c r="I11" s="109"/>
      <c r="J11" s="109"/>
      <c r="K11" s="110"/>
      <c r="L11" s="111"/>
      <c r="M11" s="111"/>
      <c r="N11" s="111"/>
      <c r="O11" s="73"/>
      <c r="P11" s="73"/>
    </row>
    <row r="12" ht="20.1" customHeight="1" spans="1:127">
      <c r="A12" s="73"/>
      <c r="B12" s="107" t="s">
        <v>10</v>
      </c>
      <c r="C12" s="107"/>
      <c r="D12" s="107"/>
      <c r="E12" s="108"/>
      <c r="F12" s="209" t="s">
        <v>11</v>
      </c>
      <c r="G12" s="209"/>
      <c r="H12" s="209"/>
      <c r="I12" s="109"/>
      <c r="J12" s="109"/>
      <c r="K12" s="95"/>
      <c r="L12" s="106"/>
      <c r="M12" s="106"/>
      <c r="N12" s="106"/>
      <c r="O12" s="73"/>
      <c r="P12" s="73"/>
    </row>
    <row r="13" ht="20.1" customHeight="1" spans="1:127">
      <c r="A13" s="117"/>
      <c r="B13" s="107" t="s">
        <v>12</v>
      </c>
      <c r="C13" s="107"/>
      <c r="D13" s="107"/>
      <c r="E13" s="108"/>
      <c r="F13" s="210" t="s">
        <v>13</v>
      </c>
      <c r="G13" s="210"/>
      <c r="H13" s="210"/>
      <c r="I13" s="211"/>
      <c r="J13" s="211"/>
      <c r="K13" s="211"/>
      <c r="L13" s="211"/>
      <c r="M13" s="211"/>
      <c r="N13" s="211"/>
      <c r="O13" s="117"/>
      <c r="P13" s="73"/>
    </row>
    <row r="14" s="74" customFormat="1" ht="20.1" customHeight="1" spans="1:127">
      <c r="A14" s="112"/>
      <c r="B14" s="212"/>
      <c r="C14" s="113"/>
      <c r="D14" s="113"/>
      <c r="E14" s="113"/>
      <c r="F14" s="113"/>
      <c r="G14" s="213"/>
      <c r="H14" s="213"/>
      <c r="I14" s="114"/>
      <c r="J14" s="114"/>
      <c r="K14" s="123"/>
      <c r="L14" s="123"/>
      <c r="M14" s="116"/>
      <c r="N14" s="116"/>
      <c r="O14" s="112"/>
      <c r="P14" s="118"/>
    </row>
    <row r="15" s="74" customFormat="1" ht="36" customHeight="1" spans="1:127">
      <c r="A15" s="119"/>
      <c r="B15" s="120"/>
      <c r="C15" s="121"/>
      <c r="D15" s="121"/>
      <c r="E15" s="121"/>
      <c r="F15" s="121"/>
      <c r="G15" s="122"/>
      <c r="H15" s="122"/>
      <c r="I15" s="123"/>
      <c r="J15" s="123"/>
      <c r="K15" s="123"/>
      <c r="L15" s="123"/>
      <c r="M15" s="116"/>
      <c r="N15" s="116"/>
      <c r="O15" s="112"/>
      <c r="P15" s="118"/>
    </row>
    <row r="16" s="74" customFormat="1" ht="24.95" customHeight="1" spans="1:127">
      <c r="A16" s="112"/>
      <c r="B16" s="214" t="s">
        <v>14</v>
      </c>
      <c r="C16" s="215" t="s">
        <v>15</v>
      </c>
      <c r="D16" s="215" t="s">
        <v>16</v>
      </c>
      <c r="E16" s="215" t="s">
        <v>17</v>
      </c>
      <c r="F16" s="215" t="s">
        <v>18</v>
      </c>
      <c r="G16" s="214" t="s">
        <v>19</v>
      </c>
      <c r="H16" s="214" t="s">
        <v>20</v>
      </c>
      <c r="I16" s="123"/>
      <c r="J16" s="123"/>
      <c r="K16" s="123"/>
      <c r="L16" s="123"/>
      <c r="M16" s="116"/>
      <c r="N16" s="116"/>
      <c r="O16" s="112"/>
      <c r="P16" s="118"/>
    </row>
    <row r="17" s="74" customFormat="1" ht="24.95" customHeight="1" spans="1:127">
      <c r="A17" s="112"/>
      <c r="B17" s="129" t="s">
        <v>21</v>
      </c>
      <c r="C17" s="216">
        <v>1</v>
      </c>
      <c r="D17" s="131" t="s">
        <v>22</v>
      </c>
      <c r="E17" s="132" t="s">
        <v>23</v>
      </c>
      <c r="F17" s="133">
        <v>50</v>
      </c>
      <c r="G17" s="217">
        <v>6.1</v>
      </c>
      <c r="H17" s="218">
        <f t="shared" ref="H17:H22" si="0">F17*G17</f>
        <v>305</v>
      </c>
      <c r="I17" s="123"/>
      <c r="J17" s="123">
        <f>F17*3</f>
        <v>150</v>
      </c>
      <c r="K17" s="123"/>
      <c r="L17" s="123"/>
      <c r="M17" s="116"/>
      <c r="N17" s="116"/>
      <c r="O17" s="112"/>
      <c r="P17" s="118"/>
    </row>
    <row r="18" s="74" customFormat="1" ht="24.95" customHeight="1" spans="1:127">
      <c r="A18" s="112"/>
      <c r="B18" s="131"/>
      <c r="C18" s="216">
        <v>2</v>
      </c>
      <c r="D18" s="131"/>
      <c r="E18" s="132" t="s">
        <v>24</v>
      </c>
      <c r="F18" s="133">
        <v>50</v>
      </c>
      <c r="G18" s="217">
        <v>8.2</v>
      </c>
      <c r="H18" s="218">
        <f t="shared" si="0"/>
        <v>410</v>
      </c>
      <c r="I18" s="123"/>
      <c r="J18" s="123">
        <f>+F18*5</f>
        <v>250</v>
      </c>
      <c r="K18" s="123"/>
      <c r="L18" s="123"/>
      <c r="M18" s="116"/>
      <c r="N18" s="116"/>
      <c r="O18" s="112"/>
      <c r="P18" s="118"/>
    </row>
    <row r="19" s="75" customFormat="1" ht="41" spans="1:127">
      <c r="A19" s="128"/>
      <c r="B19" s="131"/>
      <c r="C19" s="216">
        <v>3</v>
      </c>
      <c r="D19" s="141"/>
      <c r="E19" s="132" t="s">
        <v>25</v>
      </c>
      <c r="F19" s="133">
        <v>50</v>
      </c>
      <c r="G19" s="217">
        <v>13.36</v>
      </c>
      <c r="H19" s="218">
        <f t="shared" si="0"/>
        <v>668</v>
      </c>
      <c r="I19" s="136"/>
      <c r="J19" s="219">
        <f>F19*10</f>
        <v>500</v>
      </c>
      <c r="K19" s="136"/>
      <c r="L19" s="136"/>
      <c r="M19" s="219"/>
      <c r="N19" s="219"/>
      <c r="O19" s="138"/>
      <c r="P19" s="139"/>
    </row>
    <row r="20" s="74" customFormat="1" ht="24.95" customHeight="1" spans="1:127">
      <c r="A20" s="112"/>
      <c r="B20" s="131"/>
      <c r="C20" s="216">
        <v>1</v>
      </c>
      <c r="D20" s="131" t="s">
        <v>22</v>
      </c>
      <c r="E20" s="132" t="s">
        <v>23</v>
      </c>
      <c r="F20" s="133">
        <v>87</v>
      </c>
      <c r="G20" s="217">
        <v>3.621</v>
      </c>
      <c r="H20" s="218">
        <f t="shared" si="0"/>
        <v>315.027</v>
      </c>
      <c r="I20" s="123"/>
      <c r="J20" s="123">
        <f>F20*3</f>
        <v>261</v>
      </c>
      <c r="K20" s="123"/>
      <c r="L20" s="123"/>
      <c r="M20" s="116"/>
      <c r="N20" s="116"/>
      <c r="O20" s="112"/>
      <c r="P20" s="118"/>
    </row>
    <row r="21" s="74" customFormat="1" ht="24.95" customHeight="1" spans="1:127">
      <c r="A21" s="112"/>
      <c r="B21" s="131"/>
      <c r="C21" s="216">
        <v>2</v>
      </c>
      <c r="D21" s="131"/>
      <c r="E21" s="132" t="s">
        <v>24</v>
      </c>
      <c r="F21" s="133">
        <v>33</v>
      </c>
      <c r="G21" s="217">
        <v>5.72</v>
      </c>
      <c r="H21" s="218">
        <f t="shared" si="0"/>
        <v>188.76</v>
      </c>
      <c r="I21" s="123"/>
      <c r="J21" s="123">
        <f>+F21*5</f>
        <v>165</v>
      </c>
      <c r="K21" s="123"/>
      <c r="L21" s="123"/>
      <c r="M21" s="116"/>
      <c r="N21" s="116"/>
      <c r="O21" s="112"/>
      <c r="P21" s="118"/>
    </row>
    <row r="22" s="75" customFormat="1" ht="41" spans="1:127">
      <c r="A22" s="128"/>
      <c r="B22" s="141"/>
      <c r="C22" s="216">
        <v>3</v>
      </c>
      <c r="D22" s="141"/>
      <c r="E22" s="132" t="s">
        <v>25</v>
      </c>
      <c r="F22" s="133">
        <v>10</v>
      </c>
      <c r="G22" s="217">
        <v>10.87</v>
      </c>
      <c r="H22" s="218">
        <f t="shared" si="0"/>
        <v>108.7</v>
      </c>
      <c r="I22" s="136"/>
      <c r="J22" s="219">
        <f>F22*10</f>
        <v>100</v>
      </c>
      <c r="K22" s="136"/>
      <c r="L22" s="136"/>
      <c r="M22" s="219"/>
      <c r="N22" s="219"/>
      <c r="O22" s="138"/>
      <c r="P22" s="139"/>
    </row>
    <row r="23" s="75" customFormat="1" ht="28" customHeight="1" spans="1:127">
      <c r="A23" s="128"/>
      <c r="B23" s="220"/>
      <c r="C23" s="221"/>
      <c r="D23" s="221"/>
      <c r="E23" s="221"/>
      <c r="F23" s="222" t="s">
        <v>26</v>
      </c>
      <c r="G23" s="222"/>
      <c r="H23" s="218">
        <v>2400</v>
      </c>
      <c r="I23" s="136"/>
      <c r="J23" s="219"/>
      <c r="K23" s="136"/>
      <c r="L23" s="136"/>
      <c r="M23" s="219"/>
      <c r="N23" s="219"/>
      <c r="O23" s="138"/>
      <c r="P23" s="139"/>
    </row>
    <row r="24" ht="39.95" customHeight="1" spans="1:127">
      <c r="A24" s="117"/>
      <c r="B24" s="223"/>
      <c r="C24" s="223"/>
      <c r="D24" s="223"/>
      <c r="E24" s="223"/>
      <c r="F24" s="222" t="s">
        <v>27</v>
      </c>
      <c r="G24" s="222"/>
      <c r="H24" s="224">
        <f>SUM(H17:H23)</f>
        <v>4395.487</v>
      </c>
      <c r="I24" s="136"/>
      <c r="J24" s="136"/>
      <c r="K24" s="136"/>
      <c r="L24" s="136"/>
      <c r="M24" s="136"/>
      <c r="N24" s="136"/>
      <c r="O24" s="138"/>
      <c r="P24" s="73"/>
    </row>
    <row r="25" ht="39.95" customHeight="1" spans="1:127">
      <c r="A25" s="117"/>
      <c r="B25" s="120"/>
      <c r="C25" s="221"/>
      <c r="D25" s="221"/>
      <c r="E25" s="221"/>
      <c r="F25" s="221"/>
      <c r="G25" s="225"/>
      <c r="H25" s="225"/>
      <c r="I25" s="136"/>
      <c r="J25" s="136"/>
      <c r="K25" s="136"/>
      <c r="L25" s="136"/>
      <c r="M25" s="136"/>
      <c r="N25" s="136"/>
      <c r="O25" s="138"/>
      <c r="P25" s="73"/>
    </row>
    <row r="26" ht="20.1" customHeight="1" spans="1:127">
      <c r="A26" s="152"/>
      <c r="B26" s="226" t="s">
        <v>28</v>
      </c>
      <c r="C26" s="216"/>
      <c r="D26" s="216"/>
      <c r="E26" s="221"/>
      <c r="F26" s="221"/>
      <c r="G26" s="225"/>
      <c r="H26" s="225"/>
      <c r="I26" s="136"/>
      <c r="J26" s="136"/>
      <c r="K26" s="136"/>
      <c r="L26" s="136"/>
      <c r="M26" s="136"/>
      <c r="N26" s="136"/>
      <c r="O26" s="152"/>
    </row>
    <row r="27" s="73" customFormat="1" ht="20.1" customHeight="1" spans="1:127">
      <c r="A27" s="117"/>
      <c r="B27" s="227" t="s">
        <v>29</v>
      </c>
      <c r="C27" s="157" t="s">
        <v>30</v>
      </c>
      <c r="D27" s="157"/>
      <c r="E27" s="221"/>
      <c r="F27" s="221"/>
      <c r="G27" s="225"/>
      <c r="H27" s="225"/>
      <c r="I27" s="136"/>
      <c r="J27" s="136"/>
      <c r="K27" s="136"/>
      <c r="L27" s="136"/>
      <c r="M27" s="136"/>
      <c r="N27" s="136"/>
      <c r="O27" s="11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</row>
    <row r="28" s="73" customFormat="1" ht="20.1" customHeight="1" spans="1:127">
      <c r="A28" s="117"/>
      <c r="B28" s="226" t="s">
        <v>31</v>
      </c>
      <c r="C28" s="228" t="s">
        <v>32</v>
      </c>
      <c r="D28" s="228"/>
      <c r="E28" s="221"/>
      <c r="F28" s="221"/>
      <c r="G28" s="225"/>
      <c r="H28" s="225"/>
      <c r="I28" s="136"/>
      <c r="J28" s="136"/>
      <c r="K28" s="136"/>
      <c r="L28" s="136"/>
      <c r="M28" s="136"/>
      <c r="N28" s="136"/>
      <c r="O28" s="11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</row>
    <row r="29" s="73" customFormat="1" ht="20.1" customHeight="1" spans="1:127">
      <c r="A29" s="117"/>
      <c r="B29" s="227" t="s">
        <v>33</v>
      </c>
      <c r="C29" s="157"/>
      <c r="D29" s="157"/>
      <c r="E29" s="221"/>
      <c r="F29" s="221"/>
      <c r="G29" s="225"/>
      <c r="H29" s="225"/>
      <c r="I29" s="136"/>
      <c r="J29" s="136"/>
      <c r="K29" s="136"/>
      <c r="L29" s="136"/>
      <c r="M29" s="136"/>
      <c r="N29" s="136"/>
      <c r="O29" s="11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</row>
    <row r="30" s="73" customFormat="1" ht="20.1" customHeight="1" spans="1:127">
      <c r="A30" s="117"/>
      <c r="B30" s="226" t="s">
        <v>34</v>
      </c>
      <c r="C30" s="229" t="s">
        <v>35</v>
      </c>
      <c r="D30" s="229"/>
      <c r="E30" s="221"/>
      <c r="F30" s="221"/>
      <c r="G30" s="225"/>
      <c r="H30" s="225"/>
      <c r="I30" s="136"/>
      <c r="J30" s="136"/>
      <c r="K30" s="136"/>
      <c r="L30" s="136"/>
      <c r="M30" s="136"/>
      <c r="N30" s="136"/>
      <c r="O30" s="11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</row>
    <row r="31" s="73" customFormat="1" ht="20.1" customHeight="1" spans="1:127">
      <c r="A31" s="117"/>
      <c r="B31" s="230"/>
      <c r="C31" s="221"/>
      <c r="D31" s="221"/>
      <c r="E31" s="221"/>
      <c r="F31" s="221"/>
      <c r="G31" s="225"/>
      <c r="H31" s="225"/>
      <c r="I31" s="136"/>
      <c r="J31" s="136"/>
      <c r="K31" s="136"/>
      <c r="L31" s="136"/>
      <c r="M31" s="136"/>
      <c r="N31" s="136"/>
      <c r="O31" s="11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</row>
    <row r="32" s="73" customFormat="1" ht="20.1" customHeight="1" spans="1:127">
      <c r="A32" s="117"/>
      <c r="B32" s="231"/>
      <c r="C32" s="232"/>
      <c r="D32" s="232"/>
      <c r="E32" s="233"/>
      <c r="F32" s="233"/>
      <c r="G32" s="234"/>
      <c r="H32" s="235"/>
      <c r="I32" s="169"/>
      <c r="J32" s="169"/>
      <c r="K32" s="170"/>
      <c r="L32" s="170"/>
      <c r="M32" s="171"/>
      <c r="N32" s="171"/>
      <c r="O32" s="11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</row>
    <row r="33" s="73" customFormat="1" ht="20.1" customHeight="1" spans="1:127">
      <c r="A33" s="117"/>
      <c r="B33" s="236"/>
      <c r="C33" s="237"/>
      <c r="D33" s="233"/>
      <c r="E33" s="238"/>
      <c r="F33" s="233"/>
      <c r="G33" s="234"/>
      <c r="H33" s="235"/>
      <c r="I33" s="169"/>
      <c r="J33" s="169"/>
      <c r="K33" s="170"/>
      <c r="L33" s="170"/>
      <c r="M33" s="178"/>
      <c r="N33" s="178"/>
      <c r="O33" s="117"/>
      <c r="Q33" s="77"/>
      <c r="R33" s="77"/>
      <c r="S33" s="75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</row>
    <row r="34" s="73" customFormat="1" ht="20.1" customHeight="1" spans="1:127">
      <c r="A34" s="117"/>
      <c r="B34" s="239"/>
      <c r="C34" s="240"/>
      <c r="D34" s="240"/>
      <c r="E34" s="241"/>
      <c r="F34" s="240"/>
      <c r="G34" s="242"/>
      <c r="H34" s="243"/>
      <c r="I34" s="169"/>
      <c r="J34" s="169"/>
      <c r="K34" s="170"/>
      <c r="L34" s="170"/>
      <c r="M34" s="178"/>
      <c r="N34" s="178"/>
      <c r="O34" s="11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</row>
    <row r="35" s="73" customFormat="1" ht="20.1" customHeight="1" spans="1:127">
      <c r="A35" s="117"/>
      <c r="B35" s="239"/>
      <c r="C35" s="239"/>
      <c r="D35" s="239"/>
      <c r="E35" s="241"/>
      <c r="F35" s="239"/>
      <c r="G35" s="239"/>
      <c r="H35" s="243"/>
      <c r="I35" s="169"/>
      <c r="J35" s="169"/>
      <c r="K35" s="170"/>
      <c r="L35" s="170"/>
      <c r="M35" s="180"/>
      <c r="N35" s="180"/>
      <c r="O35" s="11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</row>
    <row r="36" s="73" customFormat="1" ht="20.1" customHeight="1" spans="1:127">
      <c r="A36" s="117"/>
      <c r="B36" s="239"/>
      <c r="C36" s="239"/>
      <c r="D36" s="244"/>
      <c r="E36" s="241"/>
      <c r="F36" s="244"/>
      <c r="G36" s="244"/>
      <c r="H36" s="243"/>
      <c r="I36" s="169"/>
      <c r="J36" s="169"/>
      <c r="K36" s="180"/>
      <c r="L36" s="180"/>
      <c r="M36" s="180"/>
      <c r="N36" s="180"/>
      <c r="O36" s="11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</row>
    <row r="37" s="73" customFormat="1" ht="20.1" customHeight="1" spans="1:127">
      <c r="A37" s="117"/>
      <c r="B37" s="245"/>
      <c r="C37" s="239"/>
      <c r="D37" s="244"/>
      <c r="E37" s="241"/>
      <c r="F37" s="244"/>
      <c r="G37" s="244"/>
      <c r="H37" s="246"/>
      <c r="I37" s="183"/>
      <c r="J37" s="183"/>
      <c r="K37" s="180"/>
      <c r="L37" s="184"/>
      <c r="M37" s="184"/>
      <c r="N37" s="184"/>
      <c r="O37" s="11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77"/>
    </row>
    <row r="38" s="73" customFormat="1" ht="20.1" customHeight="1" spans="1:127">
      <c r="A38" s="117"/>
      <c r="B38" s="239"/>
      <c r="C38" s="239"/>
      <c r="D38" s="247"/>
      <c r="E38" s="241"/>
      <c r="F38" s="247"/>
      <c r="G38" s="247"/>
      <c r="H38" s="246"/>
      <c r="I38" s="183"/>
      <c r="J38" s="183"/>
      <c r="K38" s="248"/>
      <c r="L38" s="248"/>
      <c r="M38" s="248"/>
      <c r="N38" s="248"/>
      <c r="O38" s="11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</row>
    <row r="39" s="73" customFormat="1" ht="20.1" customHeight="1" spans="1:127">
      <c r="A39" s="117"/>
      <c r="B39" s="185"/>
      <c r="C39" s="185"/>
      <c r="D39" s="185"/>
      <c r="E39" s="186"/>
      <c r="F39" s="186"/>
      <c r="G39" s="186"/>
      <c r="H39" s="187"/>
      <c r="I39" s="187"/>
      <c r="J39" s="187"/>
      <c r="K39" s="188"/>
      <c r="L39" s="188"/>
      <c r="M39" s="188"/>
      <c r="N39" s="188"/>
      <c r="O39" s="11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77"/>
    </row>
    <row r="40" s="73" customFormat="1" ht="20.1" customHeight="1" spans="1:127">
      <c r="A40" s="117"/>
      <c r="B40" s="185"/>
      <c r="C40" s="185"/>
      <c r="D40" s="185"/>
      <c r="E40" s="186"/>
      <c r="F40" s="186"/>
      <c r="G40" s="186"/>
      <c r="H40" s="183"/>
      <c r="I40" s="183"/>
      <c r="J40" s="183"/>
      <c r="K40" s="184"/>
      <c r="L40" s="184"/>
      <c r="M40" s="184"/>
      <c r="N40" s="184"/>
      <c r="O40" s="11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</row>
    <row r="41" s="73" customFormat="1" ht="20.1" customHeight="1" spans="1:127">
      <c r="A41" s="117"/>
      <c r="B41" s="249"/>
      <c r="C41" s="249"/>
      <c r="D41" s="249"/>
      <c r="E41" s="250"/>
      <c r="F41" s="250"/>
      <c r="G41" s="250"/>
      <c r="H41" s="152"/>
      <c r="I41" s="152"/>
      <c r="J41" s="152"/>
      <c r="K41" s="152"/>
      <c r="L41" s="152"/>
      <c r="M41" s="152"/>
      <c r="N41" s="152"/>
      <c r="O41" s="11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</row>
    <row r="42" s="73" customFormat="1" ht="20.1" customHeight="1" spans="1:127">
      <c r="A42" s="117"/>
      <c r="B42" s="249"/>
      <c r="C42" s="249"/>
      <c r="D42" s="249"/>
      <c r="E42" s="250"/>
      <c r="F42" s="250"/>
      <c r="G42" s="250"/>
      <c r="H42" s="152"/>
      <c r="I42" s="152"/>
      <c r="J42" s="152"/>
      <c r="K42" s="152"/>
      <c r="L42" s="152"/>
      <c r="M42" s="152"/>
      <c r="N42" s="152"/>
      <c r="O42" s="11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</row>
    <row r="43" s="73" customFormat="1" ht="20.1" customHeight="1" spans="1:127">
      <c r="A43" s="191"/>
      <c r="B43" s="192"/>
      <c r="C43" s="193"/>
      <c r="D43" s="193"/>
      <c r="E43" s="193"/>
      <c r="F43" s="193"/>
      <c r="G43" s="194"/>
      <c r="H43" s="194"/>
      <c r="I43" s="194"/>
      <c r="J43" s="194"/>
      <c r="K43" s="194"/>
      <c r="L43" s="152"/>
      <c r="M43" s="194"/>
      <c r="N43" s="194"/>
      <c r="O43" s="11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77"/>
    </row>
    <row r="44" s="73" customFormat="1" ht="20.1" customHeight="1" spans="1:127">
      <c r="A44" s="191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1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</row>
    <row r="45" s="73" customFormat="1" ht="20.1" customHeight="1" spans="1:127">
      <c r="A45" s="196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1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77"/>
    </row>
    <row r="46" s="76" customFormat="1" ht="20.1" customHeight="1" spans="1:127">
      <c r="A46" s="189" t="s">
        <v>36</v>
      </c>
      <c r="B46" s="189"/>
      <c r="C46" s="189"/>
      <c r="D46" s="189"/>
      <c r="E46" s="189"/>
      <c r="F46" s="189"/>
      <c r="G46" s="189"/>
      <c r="H46" s="189"/>
      <c r="I46" s="251"/>
    </row>
    <row r="47" s="73" customFormat="1" ht="20.1" customHeight="1" spans="1:127">
      <c r="A47" s="196"/>
      <c r="I47" s="195"/>
      <c r="J47" s="195"/>
      <c r="K47" s="195"/>
      <c r="L47" s="195"/>
      <c r="M47" s="195"/>
      <c r="N47" s="195"/>
      <c r="O47" s="19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77"/>
    </row>
    <row r="48" s="73" customFormat="1" ht="20.1" customHeight="1" spans="1:127">
      <c r="A48" s="196"/>
      <c r="B48" s="195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1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</row>
    <row r="49" ht="20.1" customHeight="1" spans="1:16">
      <c r="A49" s="196"/>
      <c r="B49" s="195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17"/>
      <c r="P49" s="73"/>
    </row>
    <row r="50" ht="20.1" customHeight="1" spans="1:16">
      <c r="A50" s="199"/>
      <c r="B50" s="195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200"/>
      <c r="P50" s="73"/>
    </row>
    <row r="51" ht="20.1" customHeight="1" spans="1:16">
      <c r="B51" s="195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P51" s="73"/>
    </row>
    <row r="52" ht="20.1" customHeight="1" spans="1:16"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</row>
    <row r="53" ht="20.1" customHeight="1" spans="1:16"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</row>
    <row r="54" ht="20.1" customHeight="1" spans="1:16"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</row>
  </sheetData>
  <mergeCells count="62">
    <mergeCell ref="B9:E9"/>
    <mergeCell ref="B10:D10"/>
    <mergeCell ref="L10:N10"/>
    <mergeCell ref="B11:D11"/>
    <mergeCell ref="F11:H11"/>
    <mergeCell ref="L11:N11"/>
    <mergeCell ref="B12:D12"/>
    <mergeCell ref="L12:N12"/>
    <mergeCell ref="B13:D13"/>
    <mergeCell ref="F13:H13"/>
    <mergeCell ref="K14:L14"/>
    <mergeCell ref="M19:N19"/>
    <mergeCell ref="M22:N22"/>
    <mergeCell ref="F23:G23"/>
    <mergeCell ref="F24:G24"/>
    <mergeCell ref="K24:L24"/>
    <mergeCell ref="M24:N24"/>
    <mergeCell ref="C25:D25"/>
    <mergeCell ref="E25:F25"/>
    <mergeCell ref="G25:H25"/>
    <mergeCell ref="K25:L25"/>
    <mergeCell ref="M25:N25"/>
    <mergeCell ref="C26:D26"/>
    <mergeCell ref="E26:F26"/>
    <mergeCell ref="G26:H26"/>
    <mergeCell ref="K26:L26"/>
    <mergeCell ref="M26:N26"/>
    <mergeCell ref="C27:D27"/>
    <mergeCell ref="E27:F27"/>
    <mergeCell ref="G27:H27"/>
    <mergeCell ref="K27:L27"/>
    <mergeCell ref="M27:N27"/>
    <mergeCell ref="C28:D28"/>
    <mergeCell ref="M28:N28"/>
    <mergeCell ref="C29:D29"/>
    <mergeCell ref="C30:D30"/>
    <mergeCell ref="K32:L32"/>
    <mergeCell ref="M32:N32"/>
    <mergeCell ref="K33:L33"/>
    <mergeCell ref="M33:N33"/>
    <mergeCell ref="K34:L34"/>
    <mergeCell ref="M34:N34"/>
    <mergeCell ref="K35:L35"/>
    <mergeCell ref="B39:D39"/>
    <mergeCell ref="E39:G39"/>
    <mergeCell ref="B40:D40"/>
    <mergeCell ref="E40:G40"/>
    <mergeCell ref="B41:D41"/>
    <mergeCell ref="E41:G41"/>
    <mergeCell ref="B42:D42"/>
    <mergeCell ref="E42:G42"/>
    <mergeCell ref="A46:H46"/>
    <mergeCell ref="B48:N48"/>
    <mergeCell ref="B49:N49"/>
    <mergeCell ref="B50:N50"/>
    <mergeCell ref="B51:N51"/>
    <mergeCell ref="B52:N52"/>
    <mergeCell ref="B53:N53"/>
    <mergeCell ref="B54:N54"/>
    <mergeCell ref="B17:B22"/>
    <mergeCell ref="D17:D19"/>
    <mergeCell ref="D20:D22"/>
  </mergeCells>
  <printOptions horizontalCentered="1"/>
  <pageMargins left="0.708333333333333" right="0.708333333333333" top="0.747916666666667" bottom="0.747916666666667" header="0.314583333333333" footer="0.314583333333333"/>
  <pageSetup paperSize="9" scale="6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54"/>
  <sheetViews>
    <sheetView showGridLines="0" view="pageBreakPreview" zoomScale="70" zoomScaleNormal="100" topLeftCell="A11" workbookViewId="0">
      <selection activeCell="H23" sqref="H23:I23"/>
    </sheetView>
  </sheetViews>
  <sheetFormatPr defaultColWidth="10.125" defaultRowHeight="16.8"/>
  <cols>
    <col min="1" max="1" width="2.375" style="77" customWidth="1"/>
    <col min="2" max="2" width="20.125" style="77" customWidth="1"/>
    <col min="3" max="3" width="12.875" style="77" customWidth="1"/>
    <col min="4" max="4" width="22.75" style="77" customWidth="1"/>
    <col min="5" max="5" width="32.625" style="77" customWidth="1"/>
    <col min="6" max="6" width="14" style="77" customWidth="1"/>
    <col min="7" max="7" width="15.625" style="77" customWidth="1"/>
    <col min="8" max="8" width="16.375" style="77" customWidth="1"/>
    <col min="9" max="9" width="26.625" style="77" customWidth="1"/>
    <col min="10" max="10" width="1.75" style="77" customWidth="1"/>
    <col min="11" max="15" width="7.125" style="77" customWidth="1"/>
    <col min="16" max="17" width="2" style="77" customWidth="1"/>
    <col min="18" max="18" width="11.375" style="77"/>
    <col min="19" max="16384" width="10.125" style="77"/>
  </cols>
  <sheetData>
    <row r="1" s="73" customFormat="1" ht="8.1" customHeight="1" spans="1:128">
      <c r="B1" s="78"/>
      <c r="C1" s="78"/>
      <c r="D1" s="78"/>
      <c r="E1" s="78"/>
      <c r="F1" s="78"/>
      <c r="K1" s="79"/>
      <c r="L1" s="79"/>
      <c r="M1" s="79"/>
      <c r="N1" s="79"/>
      <c r="O1" s="79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7"/>
      <c r="CY1" s="77"/>
      <c r="CZ1" s="77"/>
      <c r="DA1" s="77"/>
      <c r="DB1" s="77"/>
      <c r="DC1" s="77"/>
      <c r="DD1" s="77"/>
      <c r="DE1" s="77"/>
      <c r="DF1" s="77"/>
      <c r="DG1" s="77"/>
      <c r="DH1" s="77"/>
      <c r="DI1" s="77"/>
      <c r="DJ1" s="77"/>
      <c r="DK1" s="77"/>
      <c r="DL1" s="77"/>
      <c r="DM1" s="77"/>
      <c r="DN1" s="77"/>
      <c r="DO1" s="77"/>
      <c r="DP1" s="77"/>
      <c r="DQ1" s="77"/>
      <c r="DR1" s="77"/>
      <c r="DS1" s="77"/>
      <c r="DT1" s="77"/>
      <c r="DU1" s="77"/>
      <c r="DV1" s="77"/>
      <c r="DW1" s="77"/>
      <c r="DX1" s="77"/>
    </row>
    <row r="2" ht="18.75" customHeight="1" spans="1:128">
      <c r="A2" s="73"/>
      <c r="B2" s="73"/>
      <c r="C2" s="80"/>
      <c r="D2" s="81"/>
      <c r="E2" s="81"/>
      <c r="F2" s="82"/>
      <c r="G2" s="82"/>
      <c r="J2" s="83"/>
      <c r="K2" s="83"/>
      <c r="L2" s="83"/>
      <c r="M2" s="83"/>
      <c r="N2" s="83"/>
      <c r="O2" s="83"/>
      <c r="P2" s="73"/>
      <c r="Q2" s="73"/>
    </row>
    <row r="3" ht="18.75" customHeight="1" spans="1:128">
      <c r="A3" s="73"/>
      <c r="B3" s="73"/>
      <c r="C3" s="80"/>
      <c r="D3" s="84"/>
      <c r="E3" s="84"/>
      <c r="F3" s="82"/>
      <c r="G3" s="82"/>
      <c r="H3" s="85"/>
      <c r="I3" s="86"/>
      <c r="J3" s="83"/>
      <c r="K3" s="83"/>
      <c r="L3" s="83"/>
      <c r="M3" s="83"/>
      <c r="N3" s="83"/>
      <c r="O3" s="83"/>
      <c r="P3" s="73"/>
      <c r="Q3" s="73"/>
    </row>
    <row r="4" ht="54" customHeight="1" spans="1:128">
      <c r="A4" s="73"/>
      <c r="B4" s="73"/>
      <c r="C4" s="80"/>
      <c r="D4" s="84"/>
      <c r="E4" s="84"/>
      <c r="F4" s="87"/>
      <c r="G4" s="88"/>
      <c r="H4" s="89" t="s">
        <v>0</v>
      </c>
      <c r="I4" s="90" t="s">
        <v>1</v>
      </c>
      <c r="J4" s="88"/>
      <c r="K4" s="88"/>
      <c r="L4" s="88"/>
      <c r="M4" s="88"/>
      <c r="N4" s="88"/>
      <c r="O4" s="88"/>
      <c r="P4" s="73"/>
      <c r="Q4" s="73"/>
    </row>
    <row r="5" ht="24.95" customHeight="1" spans="1:128">
      <c r="A5" s="73"/>
      <c r="B5" s="73"/>
      <c r="C5" s="80"/>
      <c r="D5" s="84"/>
      <c r="E5" s="84"/>
      <c r="F5" s="87"/>
      <c r="G5" s="88"/>
      <c r="H5" s="89" t="s">
        <v>2</v>
      </c>
      <c r="I5" s="91">
        <f>Invoice!H5</f>
        <v>46261</v>
      </c>
      <c r="J5" s="88"/>
      <c r="K5" s="88"/>
      <c r="L5" s="88"/>
      <c r="M5" s="88"/>
      <c r="N5" s="88"/>
      <c r="O5" s="88"/>
      <c r="P5" s="73"/>
      <c r="Q5" s="73"/>
    </row>
    <row r="6" ht="77.1" customHeight="1" spans="1:128">
      <c r="A6" s="73"/>
      <c r="B6" s="73"/>
      <c r="C6" s="80"/>
      <c r="D6" s="84"/>
      <c r="E6" s="84"/>
      <c r="F6" s="87"/>
      <c r="G6" s="88"/>
      <c r="H6" s="92"/>
      <c r="I6" s="93"/>
      <c r="J6" s="88"/>
      <c r="K6" s="88"/>
      <c r="L6" s="88"/>
      <c r="M6" s="88"/>
      <c r="N6" s="88"/>
      <c r="O6" s="88"/>
      <c r="P6" s="73"/>
      <c r="Q6" s="73"/>
    </row>
    <row r="7" ht="105" customHeight="1" spans="1:128">
      <c r="A7" s="73"/>
      <c r="B7" s="94" t="s">
        <v>37</v>
      </c>
      <c r="C7" s="94"/>
      <c r="D7" s="94"/>
      <c r="E7" s="94"/>
      <c r="F7" s="94"/>
      <c r="G7" s="94"/>
      <c r="H7" s="94"/>
      <c r="I7" s="94"/>
      <c r="J7" s="88"/>
      <c r="K7" s="88"/>
      <c r="L7" s="88"/>
      <c r="M7" s="88"/>
      <c r="N7" s="88"/>
      <c r="O7" s="88"/>
      <c r="P7" s="73"/>
      <c r="Q7" s="73"/>
    </row>
    <row r="8" ht="36.95" customHeight="1" spans="1:128">
      <c r="A8" s="73"/>
      <c r="B8" s="73"/>
      <c r="C8" s="80"/>
      <c r="D8" s="84"/>
      <c r="E8" s="84"/>
      <c r="F8" s="87"/>
      <c r="G8" s="88"/>
      <c r="H8" s="88"/>
      <c r="I8" s="95"/>
      <c r="J8" s="88"/>
      <c r="K8" s="88"/>
      <c r="L8" s="88"/>
      <c r="M8" s="88"/>
      <c r="N8" s="88"/>
      <c r="O8" s="88"/>
      <c r="P8" s="73"/>
      <c r="Q8" s="73"/>
    </row>
    <row r="9" ht="20.1" customHeight="1" spans="1:128">
      <c r="A9" s="73"/>
      <c r="B9" s="96" t="s">
        <v>4</v>
      </c>
      <c r="C9" s="96"/>
      <c r="D9" s="96"/>
      <c r="E9" s="96"/>
      <c r="F9" s="96"/>
      <c r="G9" s="97" t="s">
        <v>5</v>
      </c>
      <c r="H9" s="97"/>
      <c r="I9" s="97"/>
      <c r="J9" s="98"/>
      <c r="K9" s="88"/>
      <c r="L9" s="88"/>
      <c r="M9" s="88"/>
      <c r="N9" s="88"/>
      <c r="O9" s="73"/>
      <c r="P9" s="73"/>
    </row>
    <row r="10" ht="20.1" customHeight="1" spans="1:128">
      <c r="A10" s="73"/>
      <c r="B10" s="99" t="str">
        <f>Invoice!B10</f>
        <v>Fuse Energy CO.,LTD</v>
      </c>
      <c r="C10" s="99"/>
      <c r="D10" s="99"/>
      <c r="E10" s="99"/>
      <c r="F10" s="100"/>
      <c r="G10" s="101" t="str">
        <f>Invoice!F10</f>
        <v>SUNKEAN ENERGY CO., LTD.</v>
      </c>
      <c r="H10" s="102"/>
      <c r="I10" s="103"/>
      <c r="J10" s="104"/>
      <c r="K10" s="105"/>
      <c r="L10" s="106"/>
      <c r="M10" s="106"/>
      <c r="N10" s="106"/>
      <c r="O10" s="73"/>
      <c r="P10" s="73"/>
    </row>
    <row r="11" ht="51" customHeight="1" spans="1:128">
      <c r="A11" s="73"/>
      <c r="B11" s="107" t="str">
        <f>Invoice!B11</f>
        <v>Unit 3 Fuse Energy, Here East 3-4 E Bay Ln
London, E20 3BS</v>
      </c>
      <c r="C11" s="107"/>
      <c r="D11" s="107"/>
      <c r="E11" s="108"/>
      <c r="F11" s="108"/>
      <c r="G11" s="96" t="str">
        <f>Invoice!F11</f>
        <v>Building A, No. 2 South Changjiang Road, Xinwu District, Wuxi, Jiangsu, China</v>
      </c>
      <c r="H11" s="96"/>
      <c r="I11" s="96"/>
      <c r="J11" s="109"/>
      <c r="K11" s="110"/>
      <c r="L11" s="111"/>
      <c r="M11" s="111"/>
      <c r="N11" s="111"/>
      <c r="O11" s="73"/>
      <c r="P11" s="73"/>
    </row>
    <row r="12" ht="20.1" customHeight="1" spans="1:128">
      <c r="A12" s="73"/>
      <c r="B12" s="107" t="str">
        <f>Invoice!B12</f>
        <v>Contact：Mikita Kryvitski</v>
      </c>
      <c r="C12" s="107"/>
      <c r="D12" s="107"/>
      <c r="E12" s="107"/>
      <c r="F12" s="107"/>
      <c r="G12" s="96" t="str">
        <f>Invoice!F12</f>
        <v>Contact: Angela</v>
      </c>
      <c r="H12" s="96"/>
      <c r="I12" s="96"/>
      <c r="J12" s="109"/>
      <c r="K12" s="95"/>
      <c r="L12" s="106"/>
      <c r="M12" s="106"/>
      <c r="N12" s="106"/>
      <c r="O12" s="73"/>
      <c r="P12" s="73"/>
    </row>
    <row r="13" s="74" customFormat="1" ht="21" customHeight="1" spans="1:128">
      <c r="A13" s="112"/>
      <c r="B13" s="107" t="str">
        <f>Invoice!B13</f>
        <v>Tel: +44 7876 251937</v>
      </c>
      <c r="C13" s="107"/>
      <c r="D13" s="107"/>
      <c r="E13" s="113"/>
      <c r="F13" s="113"/>
      <c r="G13" s="96" t="str">
        <f>Invoice!F13</f>
        <v>Tel: +86 (510)81083036</v>
      </c>
      <c r="H13" s="96"/>
      <c r="I13" s="96"/>
      <c r="J13" s="114"/>
      <c r="K13" s="114"/>
      <c r="L13" s="115"/>
      <c r="M13" s="116"/>
      <c r="N13" s="116"/>
      <c r="O13" s="116"/>
      <c r="P13" s="117"/>
      <c r="Q13" s="118"/>
    </row>
    <row r="14" s="74" customFormat="1" ht="68.1" customHeight="1" spans="1:128">
      <c r="A14" s="119"/>
      <c r="B14" s="120"/>
      <c r="C14" s="121"/>
      <c r="D14" s="121"/>
      <c r="E14" s="121"/>
      <c r="F14" s="121"/>
      <c r="G14" s="121"/>
      <c r="H14" s="122"/>
      <c r="I14" s="122"/>
      <c r="J14" s="123"/>
      <c r="K14" s="123"/>
      <c r="L14" s="123"/>
      <c r="M14" s="123"/>
      <c r="N14" s="116"/>
      <c r="O14" s="116"/>
      <c r="P14" s="112"/>
      <c r="Q14" s="118"/>
    </row>
    <row r="15" s="74" customFormat="1" ht="39.95" customHeight="1" spans="1:128">
      <c r="A15" s="112"/>
      <c r="B15" s="124" t="s">
        <v>14</v>
      </c>
      <c r="C15" s="125" t="s">
        <v>15</v>
      </c>
      <c r="D15" s="126" t="s">
        <v>16</v>
      </c>
      <c r="E15" s="126" t="s">
        <v>17</v>
      </c>
      <c r="F15" s="125" t="s">
        <v>38</v>
      </c>
      <c r="G15" s="125" t="s">
        <v>39</v>
      </c>
      <c r="H15" s="125" t="s">
        <v>40</v>
      </c>
      <c r="I15" s="127" t="s">
        <v>41</v>
      </c>
      <c r="J15" s="123"/>
      <c r="K15" s="123"/>
      <c r="L15" s="123"/>
      <c r="M15" s="123"/>
      <c r="N15" s="116"/>
      <c r="O15" s="116"/>
      <c r="P15" s="112"/>
      <c r="Q15" s="118"/>
    </row>
    <row r="16" s="75" customFormat="1" ht="21" spans="1:128">
      <c r="A16" s="128"/>
      <c r="B16" s="129" t="str">
        <f>Invoice!B17</f>
        <v>MADE IN CHINA
P/NO.: 1-1</v>
      </c>
      <c r="C16" s="130">
        <v>1</v>
      </c>
      <c r="D16" s="131" t="s">
        <v>22</v>
      </c>
      <c r="E16" s="132" t="s">
        <v>23</v>
      </c>
      <c r="F16" s="133">
        <v>50</v>
      </c>
      <c r="G16" s="134">
        <f t="shared" ref="G16:G21" si="0">F16*K16</f>
        <v>17</v>
      </c>
      <c r="H16" s="129">
        <v>202.71</v>
      </c>
      <c r="I16" s="135">
        <v>1.1808</v>
      </c>
      <c r="J16" s="136"/>
      <c r="K16" s="137">
        <v>0.34</v>
      </c>
      <c r="L16" s="136"/>
      <c r="M16" s="136"/>
      <c r="N16" s="136"/>
      <c r="O16" s="136"/>
      <c r="P16" s="138"/>
      <c r="Q16" s="139"/>
    </row>
    <row r="17" customFormat="1" ht="39.95" customHeight="1" spans="1:128">
      <c r="A17" s="117"/>
      <c r="B17" s="131"/>
      <c r="C17" s="130">
        <v>2</v>
      </c>
      <c r="D17" s="131"/>
      <c r="E17" s="132" t="s">
        <v>24</v>
      </c>
      <c r="F17" s="133">
        <v>50</v>
      </c>
      <c r="G17" s="134">
        <f t="shared" si="0"/>
        <v>25.5</v>
      </c>
      <c r="H17" s="131"/>
      <c r="I17" s="140"/>
      <c r="J17" s="136"/>
      <c r="K17" s="137">
        <v>0.51</v>
      </c>
      <c r="L17" s="136"/>
      <c r="M17" s="136"/>
      <c r="N17" s="136"/>
      <c r="O17" s="136"/>
      <c r="P17" s="138"/>
      <c r="Q17" s="73"/>
    </row>
    <row r="18" customFormat="1" ht="39.95" customHeight="1" spans="1:128">
      <c r="A18" s="117"/>
      <c r="B18" s="131"/>
      <c r="C18" s="130">
        <v>3</v>
      </c>
      <c r="D18" s="141"/>
      <c r="E18" s="132" t="s">
        <v>25</v>
      </c>
      <c r="F18" s="133">
        <v>50</v>
      </c>
      <c r="G18" s="134">
        <f t="shared" si="0"/>
        <v>46.5</v>
      </c>
      <c r="H18" s="131"/>
      <c r="I18" s="140"/>
      <c r="J18" s="136"/>
      <c r="K18" s="137">
        <v>0.93</v>
      </c>
      <c r="L18" s="136"/>
      <c r="M18" s="136"/>
      <c r="N18" s="136"/>
      <c r="O18" s="136"/>
      <c r="P18" s="138"/>
      <c r="Q18" s="73"/>
    </row>
    <row r="19" customFormat="1" ht="39.95" customHeight="1" spans="1:128">
      <c r="A19" s="117"/>
      <c r="B19" s="131"/>
      <c r="C19" s="130">
        <v>4</v>
      </c>
      <c r="D19" s="131" t="s">
        <v>22</v>
      </c>
      <c r="E19" s="132" t="s">
        <v>23</v>
      </c>
      <c r="F19" s="133">
        <v>87</v>
      </c>
      <c r="G19" s="134">
        <f t="shared" si="0"/>
        <v>29.58</v>
      </c>
      <c r="H19" s="131"/>
      <c r="I19" s="140"/>
      <c r="J19" s="136"/>
      <c r="K19" s="137">
        <v>0.34</v>
      </c>
      <c r="L19" s="136"/>
      <c r="M19" s="136"/>
      <c r="N19" s="136"/>
      <c r="O19" s="136"/>
      <c r="P19" s="138"/>
      <c r="Q19" s="73"/>
    </row>
    <row r="20" customFormat="1" ht="39.95" customHeight="1" spans="1:128">
      <c r="A20" s="117"/>
      <c r="B20" s="131"/>
      <c r="C20" s="130">
        <v>5</v>
      </c>
      <c r="D20" s="131"/>
      <c r="E20" s="132" t="s">
        <v>24</v>
      </c>
      <c r="F20" s="133">
        <v>33</v>
      </c>
      <c r="G20" s="134">
        <f t="shared" si="0"/>
        <v>16.83</v>
      </c>
      <c r="H20" s="131"/>
      <c r="I20" s="140"/>
      <c r="J20" s="136"/>
      <c r="K20" s="137">
        <v>0.51</v>
      </c>
      <c r="L20" s="136"/>
      <c r="M20" s="136"/>
      <c r="N20" s="136"/>
      <c r="O20" s="136"/>
      <c r="P20" s="138"/>
      <c r="Q20" s="73"/>
    </row>
    <row r="21" customFormat="1" ht="39.95" customHeight="1" spans="1:128">
      <c r="A21" s="117"/>
      <c r="B21" s="141"/>
      <c r="C21" s="130">
        <v>6</v>
      </c>
      <c r="D21" s="141"/>
      <c r="E21" s="132" t="s">
        <v>25</v>
      </c>
      <c r="F21" s="133">
        <v>10</v>
      </c>
      <c r="G21" s="134">
        <f t="shared" si="0"/>
        <v>9.3</v>
      </c>
      <c r="H21" s="141"/>
      <c r="I21" s="142"/>
      <c r="J21" s="136"/>
      <c r="K21" s="137">
        <v>0.93</v>
      </c>
      <c r="L21" s="136"/>
      <c r="M21" s="136"/>
      <c r="N21" s="136"/>
      <c r="O21" s="136"/>
      <c r="P21" s="138"/>
      <c r="Q21" s="73"/>
    </row>
    <row r="22" ht="39.95" customHeight="1" spans="1:128">
      <c r="A22" s="117"/>
      <c r="B22" s="143"/>
      <c r="C22" s="143"/>
      <c r="D22" s="144" t="s">
        <v>42</v>
      </c>
      <c r="E22" s="145"/>
      <c r="F22" s="146">
        <f>SUM(F16:F21)</f>
        <v>280</v>
      </c>
      <c r="G22" s="147">
        <f>SUM(G16:G21)</f>
        <v>144.71</v>
      </c>
      <c r="H22" s="148">
        <f>H16</f>
        <v>202.71</v>
      </c>
      <c r="I22" s="149">
        <f>I16</f>
        <v>1.1808</v>
      </c>
      <c r="J22" s="136"/>
      <c r="K22" s="136"/>
      <c r="L22" s="136"/>
      <c r="M22" s="136"/>
      <c r="N22" s="136"/>
      <c r="O22" s="136"/>
      <c r="P22" s="138"/>
      <c r="Q22" s="73"/>
    </row>
    <row r="23" ht="96.95" customHeight="1" spans="1:128">
      <c r="A23" s="117"/>
      <c r="B23" s="150"/>
      <c r="C23" s="136"/>
      <c r="D23" s="136"/>
      <c r="E23" s="136"/>
      <c r="F23" s="136"/>
      <c r="G23" s="136"/>
      <c r="H23" s="151"/>
      <c r="I23" s="151"/>
      <c r="J23" s="136"/>
      <c r="K23" s="136"/>
      <c r="L23" s="136"/>
      <c r="M23" s="136"/>
      <c r="N23" s="136"/>
      <c r="O23" s="136"/>
      <c r="P23" s="138"/>
      <c r="Q23" s="73"/>
    </row>
    <row r="24" ht="20.1" customHeight="1" spans="1:128">
      <c r="A24" s="152"/>
      <c r="B24" s="153" t="s">
        <v>28</v>
      </c>
      <c r="C24" s="154"/>
      <c r="D24" s="155"/>
      <c r="E24" s="136"/>
      <c r="F24" s="136"/>
      <c r="G24" s="136"/>
      <c r="H24" s="151"/>
      <c r="I24" s="151"/>
      <c r="J24" s="136"/>
      <c r="K24" s="136"/>
      <c r="L24" s="136"/>
      <c r="M24" s="136"/>
      <c r="N24" s="136"/>
      <c r="O24" s="136"/>
      <c r="P24" s="152"/>
    </row>
    <row r="25" s="73" customFormat="1" ht="20.1" customHeight="1" spans="1:128">
      <c r="A25" s="117"/>
      <c r="B25" s="156" t="s">
        <v>29</v>
      </c>
      <c r="C25" s="157" t="s">
        <v>30</v>
      </c>
      <c r="D25" s="157"/>
      <c r="E25" s="158"/>
      <c r="F25" s="136"/>
      <c r="G25" s="136"/>
      <c r="H25" s="151"/>
      <c r="I25" s="151"/>
      <c r="J25" s="136"/>
      <c r="K25" s="136"/>
      <c r="L25" s="136"/>
      <c r="M25" s="136"/>
      <c r="N25" s="136"/>
      <c r="O25" s="136"/>
      <c r="P25" s="11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</row>
    <row r="26" s="73" customFormat="1" ht="20.1" customHeight="1" spans="1:128">
      <c r="A26" s="117"/>
      <c r="B26" s="159" t="s">
        <v>43</v>
      </c>
      <c r="C26" s="160">
        <f>H22</f>
        <v>202.71</v>
      </c>
      <c r="D26" s="161" t="s">
        <v>44</v>
      </c>
      <c r="E26" s="152"/>
      <c r="F26" s="136"/>
      <c r="G26" s="136"/>
      <c r="H26" s="151"/>
      <c r="I26" s="151"/>
      <c r="J26" s="136"/>
      <c r="K26" s="136"/>
      <c r="L26" s="136"/>
      <c r="M26" s="136"/>
      <c r="N26" s="136"/>
      <c r="O26" s="136"/>
      <c r="P26" s="11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77"/>
      <c r="DX26" s="77"/>
    </row>
    <row r="27" s="73" customFormat="1" ht="20.1" customHeight="1" spans="1:128">
      <c r="A27" s="117"/>
      <c r="B27" s="156" t="s">
        <v>45</v>
      </c>
      <c r="C27" s="162">
        <v>1</v>
      </c>
      <c r="D27" s="163" t="s">
        <v>46</v>
      </c>
      <c r="E27" s="152"/>
      <c r="F27" s="136"/>
      <c r="G27" s="136"/>
      <c r="H27" s="151"/>
      <c r="I27" s="151"/>
      <c r="J27" s="136"/>
      <c r="K27" s="136"/>
      <c r="L27" s="136"/>
      <c r="M27" s="136"/>
      <c r="N27" s="136"/>
      <c r="O27" s="136"/>
      <c r="P27" s="11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77"/>
      <c r="DX27" s="77"/>
    </row>
    <row r="28" s="73" customFormat="1" ht="20.1" customHeight="1" spans="1:128">
      <c r="A28" s="117"/>
      <c r="B28" s="164"/>
      <c r="C28" s="165"/>
      <c r="D28" s="165"/>
      <c r="E28" s="166"/>
      <c r="F28" s="167"/>
      <c r="G28" s="167"/>
      <c r="H28" s="168"/>
      <c r="I28" s="168"/>
      <c r="J28" s="169"/>
      <c r="K28" s="169"/>
      <c r="L28" s="170"/>
      <c r="M28" s="170"/>
      <c r="N28" s="171"/>
      <c r="O28" s="171"/>
      <c r="P28" s="11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77"/>
      <c r="DX28" s="77"/>
    </row>
    <row r="29" s="73" customFormat="1" ht="20.1" customHeight="1" spans="1:128">
      <c r="A29" s="117"/>
      <c r="B29" s="172"/>
      <c r="C29" s="173"/>
      <c r="D29" s="174"/>
      <c r="E29" s="175"/>
      <c r="F29" s="176"/>
      <c r="G29" s="175"/>
      <c r="H29" s="177"/>
      <c r="I29" s="177"/>
      <c r="J29" s="169"/>
      <c r="K29" s="169"/>
      <c r="L29" s="170"/>
      <c r="M29" s="170"/>
      <c r="N29" s="178"/>
      <c r="O29" s="178"/>
      <c r="P29" s="117"/>
      <c r="R29" s="77"/>
      <c r="S29" s="77"/>
      <c r="T29" s="75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</row>
    <row r="30" s="73" customFormat="1" ht="20.1" customHeight="1" spans="1:128">
      <c r="A30" s="117"/>
      <c r="B30" s="172"/>
      <c r="C30" s="173"/>
      <c r="D30" s="174"/>
      <c r="E30" s="175"/>
      <c r="F30" s="176"/>
      <c r="G30" s="175"/>
      <c r="H30" s="177"/>
      <c r="I30" s="177"/>
      <c r="J30" s="169"/>
      <c r="K30" s="169"/>
      <c r="L30" s="170"/>
      <c r="M30" s="170"/>
      <c r="N30" s="178"/>
      <c r="O30" s="178"/>
      <c r="P30" s="117"/>
      <c r="R30" s="77"/>
      <c r="S30" s="77"/>
      <c r="T30" s="75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77"/>
      <c r="DX30" s="77"/>
    </row>
    <row r="31" s="73" customFormat="1" ht="20.1" customHeight="1" spans="1:128">
      <c r="A31" s="117"/>
      <c r="B31" s="172"/>
      <c r="C31" s="173"/>
      <c r="D31" s="174"/>
      <c r="E31" s="175"/>
      <c r="F31" s="176"/>
      <c r="G31" s="175"/>
      <c r="H31" s="177"/>
      <c r="I31" s="177"/>
      <c r="J31" s="169"/>
      <c r="K31" s="169"/>
      <c r="L31" s="170"/>
      <c r="M31" s="170"/>
      <c r="N31" s="178"/>
      <c r="O31" s="178"/>
      <c r="P31" s="117"/>
      <c r="R31" s="77"/>
      <c r="S31" s="77"/>
      <c r="T31" s="75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</row>
    <row r="32" s="73" customFormat="1" ht="20.1" customHeight="1" spans="1:128">
      <c r="A32" s="117"/>
      <c r="B32" s="172"/>
      <c r="C32" s="173"/>
      <c r="D32" s="174"/>
      <c r="E32" s="175"/>
      <c r="F32" s="176"/>
      <c r="G32" s="175"/>
      <c r="H32" s="177"/>
      <c r="I32" s="177"/>
      <c r="J32" s="169"/>
      <c r="K32" s="169"/>
      <c r="L32" s="170"/>
      <c r="M32" s="170"/>
      <c r="N32" s="178"/>
      <c r="O32" s="178"/>
      <c r="P32" s="117"/>
      <c r="R32" s="77"/>
      <c r="S32" s="77"/>
      <c r="T32" s="75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</row>
    <row r="33" s="73" customFormat="1" ht="20.1" customHeight="1" spans="1:128">
      <c r="A33" s="117"/>
      <c r="B33" s="172"/>
      <c r="C33" s="173"/>
      <c r="D33" s="174"/>
      <c r="E33" s="175"/>
      <c r="F33" s="176"/>
      <c r="G33" s="175"/>
      <c r="H33" s="177"/>
      <c r="I33" s="177"/>
      <c r="J33" s="169"/>
      <c r="K33" s="169"/>
      <c r="L33" s="170"/>
      <c r="M33" s="170"/>
      <c r="N33" s="178"/>
      <c r="O33" s="178"/>
      <c r="P33" s="117"/>
      <c r="R33" s="77"/>
      <c r="S33" s="77"/>
      <c r="T33" s="75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</row>
    <row r="34" s="73" customFormat="1" ht="20.1" customHeight="1" spans="1:128">
      <c r="A34" s="117"/>
      <c r="B34" s="172"/>
      <c r="C34" s="172"/>
      <c r="D34" s="172"/>
      <c r="E34" s="179"/>
      <c r="F34" s="176"/>
      <c r="G34" s="179"/>
      <c r="H34" s="179"/>
      <c r="I34" s="179"/>
      <c r="J34" s="169"/>
      <c r="K34" s="169"/>
      <c r="L34" s="170"/>
      <c r="M34" s="170"/>
      <c r="N34" s="180"/>
      <c r="O34" s="180"/>
      <c r="P34" s="11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  <c r="DX34" s="77"/>
    </row>
    <row r="35" s="73" customFormat="1" ht="20.1" customHeight="1" spans="1:128">
      <c r="A35" s="117"/>
      <c r="B35" s="181"/>
      <c r="C35" s="179"/>
      <c r="D35" s="182"/>
      <c r="E35" s="182"/>
      <c r="F35" s="176"/>
      <c r="G35" s="182"/>
      <c r="H35" s="182"/>
      <c r="I35" s="182"/>
      <c r="J35" s="183"/>
      <c r="K35" s="183"/>
      <c r="L35" s="180"/>
      <c r="M35" s="184"/>
      <c r="N35" s="184"/>
      <c r="O35" s="184"/>
      <c r="P35" s="11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77"/>
      <c r="DX35" s="77"/>
    </row>
    <row r="36" s="73" customFormat="1" ht="20.1" customHeight="1" spans="1:128">
      <c r="A36" s="117"/>
      <c r="B36" s="181"/>
      <c r="C36" s="179"/>
      <c r="D36" s="182"/>
      <c r="E36" s="182"/>
      <c r="F36" s="176"/>
      <c r="G36" s="182"/>
      <c r="H36" s="182"/>
      <c r="I36" s="182"/>
      <c r="J36" s="183"/>
      <c r="K36" s="183"/>
      <c r="L36" s="180"/>
      <c r="M36" s="184"/>
      <c r="N36" s="184"/>
      <c r="O36" s="184"/>
      <c r="P36" s="11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77"/>
      <c r="DX36" s="77"/>
    </row>
    <row r="37" s="73" customFormat="1" ht="20.1" customHeight="1" spans="1:128">
      <c r="A37" s="117"/>
      <c r="B37" s="181"/>
      <c r="C37" s="179"/>
      <c r="D37" s="182"/>
      <c r="E37" s="182"/>
      <c r="F37" s="176"/>
      <c r="G37" s="182"/>
      <c r="H37" s="182"/>
      <c r="I37" s="182"/>
      <c r="J37" s="183"/>
      <c r="K37" s="183"/>
      <c r="L37" s="180"/>
      <c r="M37" s="184"/>
      <c r="N37" s="184"/>
      <c r="O37" s="184"/>
      <c r="P37" s="11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77"/>
      <c r="DX37" s="77"/>
    </row>
    <row r="38" s="73" customFormat="1" ht="20.1" customHeight="1" spans="1:128">
      <c r="A38" s="117"/>
      <c r="B38" s="181"/>
      <c r="C38" s="179"/>
      <c r="D38" s="182"/>
      <c r="E38" s="182"/>
      <c r="F38" s="176"/>
      <c r="G38" s="182"/>
      <c r="H38" s="182"/>
      <c r="I38" s="182"/>
      <c r="J38" s="183"/>
      <c r="K38" s="183"/>
      <c r="L38" s="180"/>
      <c r="M38" s="184"/>
      <c r="N38" s="184"/>
      <c r="O38" s="184"/>
      <c r="P38" s="11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G38" s="77"/>
      <c r="DH38" s="77"/>
      <c r="DI38" s="77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77"/>
      <c r="DX38" s="77"/>
    </row>
    <row r="39" s="73" customFormat="1" ht="20.1" customHeight="1" spans="1:128">
      <c r="A39" s="117"/>
      <c r="B39" s="185"/>
      <c r="C39" s="185"/>
      <c r="D39" s="185"/>
      <c r="E39" s="185"/>
      <c r="F39" s="186"/>
      <c r="G39" s="186"/>
      <c r="H39" s="186"/>
      <c r="I39" s="186"/>
      <c r="J39" s="187"/>
      <c r="K39" s="187"/>
      <c r="L39" s="188"/>
      <c r="M39" s="188"/>
      <c r="N39" s="188"/>
      <c r="O39" s="188"/>
      <c r="P39" s="11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77"/>
      <c r="DX39" s="77"/>
    </row>
    <row r="40" s="73" customFormat="1" ht="20.1" customHeight="1" spans="1:128">
      <c r="A40" s="117"/>
      <c r="B40" s="185"/>
      <c r="C40" s="185"/>
      <c r="D40" s="185"/>
      <c r="E40" s="185"/>
      <c r="F40" s="186"/>
      <c r="G40" s="186"/>
      <c r="H40" s="186"/>
      <c r="I40" s="186"/>
      <c r="J40" s="183"/>
      <c r="K40" s="183"/>
      <c r="L40" s="184"/>
      <c r="M40" s="184"/>
      <c r="N40" s="184"/>
      <c r="O40" s="184"/>
      <c r="P40" s="11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  <c r="DX40" s="77"/>
    </row>
    <row r="41" s="76" customFormat="1" ht="20.1" customHeight="1" spans="1:128">
      <c r="B41" s="189" t="str">
        <f>Invoice!A46</f>
        <v>COPYRIGHT @ 2024 SUNKEAN</v>
      </c>
      <c r="C41" s="189"/>
      <c r="D41" s="189"/>
      <c r="E41" s="189"/>
      <c r="F41" s="189"/>
      <c r="G41" s="189"/>
      <c r="H41" s="189"/>
      <c r="I41" s="189"/>
    </row>
    <row r="42" s="73" customFormat="1" ht="20.1" customHeight="1" spans="1:128">
      <c r="A42" s="117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52"/>
      <c r="P42" s="11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  <c r="CP42" s="77"/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  <c r="DX42" s="77"/>
    </row>
    <row r="43" s="73" customFormat="1" ht="20.1" customHeight="1" spans="1:128">
      <c r="A43" s="191"/>
      <c r="B43" s="192"/>
      <c r="C43" s="193"/>
      <c r="D43" s="193"/>
      <c r="E43" s="193"/>
      <c r="F43" s="193"/>
      <c r="G43" s="193"/>
      <c r="H43" s="194"/>
      <c r="I43" s="194"/>
      <c r="J43" s="194"/>
      <c r="K43" s="194"/>
      <c r="L43" s="194"/>
      <c r="M43" s="152"/>
      <c r="N43" s="194"/>
      <c r="O43" s="194"/>
      <c r="P43" s="11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  <c r="CK43" s="77"/>
      <c r="CL43" s="77"/>
      <c r="CM43" s="77"/>
      <c r="CN43" s="77"/>
      <c r="CO43" s="77"/>
      <c r="CP43" s="77"/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77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77"/>
      <c r="DX43" s="77"/>
    </row>
    <row r="44" s="73" customFormat="1" ht="20.1" customHeight="1" spans="1:128">
      <c r="A44" s="191"/>
      <c r="J44" s="195"/>
      <c r="K44" s="195"/>
      <c r="L44" s="195"/>
      <c r="M44" s="195"/>
      <c r="N44" s="195"/>
      <c r="O44" s="195"/>
      <c r="P44" s="11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</row>
    <row r="45" s="73" customFormat="1" ht="20.1" customHeight="1" spans="1:128">
      <c r="A45" s="196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1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77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77"/>
      <c r="DX45" s="77"/>
    </row>
    <row r="46" s="73" customFormat="1" ht="20.1" customHeight="1" spans="1:128">
      <c r="A46" s="191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1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</row>
    <row r="47" s="73" customFormat="1" ht="20.1" customHeight="1" spans="1:128">
      <c r="A47" s="196"/>
      <c r="J47" s="195"/>
      <c r="K47" s="195"/>
      <c r="L47" s="195"/>
      <c r="M47" s="195"/>
      <c r="N47" s="195"/>
      <c r="O47" s="195"/>
      <c r="P47" s="19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77"/>
      <c r="DX47" s="77"/>
    </row>
    <row r="48" s="73" customFormat="1" ht="20.1" customHeight="1" spans="1:128">
      <c r="A48" s="196"/>
      <c r="B48" s="195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1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77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77"/>
      <c r="DX48" s="77"/>
    </row>
    <row r="49" ht="20.1" customHeight="1" spans="1:17">
      <c r="A49" s="196"/>
      <c r="B49" s="195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17"/>
      <c r="Q49" s="73"/>
    </row>
    <row r="50" ht="20.1" customHeight="1" spans="1:17">
      <c r="A50" s="199"/>
      <c r="B50" s="195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200"/>
      <c r="Q50" s="73"/>
    </row>
    <row r="51" ht="20.1" customHeight="1" spans="1:17">
      <c r="B51" s="195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Q51" s="73"/>
    </row>
    <row r="52" ht="20.1" customHeight="1" spans="1:17"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</row>
    <row r="53" ht="20.1" customHeight="1" spans="1:17"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</row>
    <row r="54" ht="20.1" customHeight="1" spans="1:17"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</row>
  </sheetData>
  <mergeCells count="53">
    <mergeCell ref="B7:I7"/>
    <mergeCell ref="B9:F9"/>
    <mergeCell ref="B10:D10"/>
    <mergeCell ref="L10:N10"/>
    <mergeCell ref="B11:D11"/>
    <mergeCell ref="G11:I11"/>
    <mergeCell ref="L11:N11"/>
    <mergeCell ref="B12:F12"/>
    <mergeCell ref="G12:I12"/>
    <mergeCell ref="L12:N12"/>
    <mergeCell ref="B13:D13"/>
    <mergeCell ref="G13:I13"/>
    <mergeCell ref="L16:M16"/>
    <mergeCell ref="N16:O16"/>
    <mergeCell ref="L22:M22"/>
    <mergeCell ref="N22:O22"/>
    <mergeCell ref="C23:D23"/>
    <mergeCell ref="F23:G23"/>
    <mergeCell ref="H23:I23"/>
    <mergeCell ref="L23:M23"/>
    <mergeCell ref="N23:O23"/>
    <mergeCell ref="C24:D24"/>
    <mergeCell ref="F24:G24"/>
    <mergeCell ref="H24:I24"/>
    <mergeCell ref="L24:M24"/>
    <mergeCell ref="N24:O24"/>
    <mergeCell ref="C25:D25"/>
    <mergeCell ref="F25:G25"/>
    <mergeCell ref="H25:I25"/>
    <mergeCell ref="L25:M25"/>
    <mergeCell ref="N25:O25"/>
    <mergeCell ref="L28:M28"/>
    <mergeCell ref="N28:O28"/>
    <mergeCell ref="L29:M29"/>
    <mergeCell ref="N29:O29"/>
    <mergeCell ref="L34:M34"/>
    <mergeCell ref="B39:D39"/>
    <mergeCell ref="F39:H39"/>
    <mergeCell ref="B40:D40"/>
    <mergeCell ref="F40:H40"/>
    <mergeCell ref="B41:I41"/>
    <mergeCell ref="B48:O48"/>
    <mergeCell ref="B49:O49"/>
    <mergeCell ref="B50:O50"/>
    <mergeCell ref="B51:O51"/>
    <mergeCell ref="B52:O52"/>
    <mergeCell ref="B53:O53"/>
    <mergeCell ref="B54:O54"/>
    <mergeCell ref="B16:B21"/>
    <mergeCell ref="D16:D18"/>
    <mergeCell ref="D19:D21"/>
    <mergeCell ref="H16:H21"/>
    <mergeCell ref="I16:I21"/>
  </mergeCells>
  <printOptions horizontalCentered="1"/>
  <pageMargins left="0.590277777777778" right="0.590277777777778" top="0.747916666666667" bottom="0.747916666666667" header="0.511805555555556" footer="0.511805555555556"/>
  <pageSetup paperSize="9" scale="4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view="pageBreakPreview" zoomScale="55" zoomScaleNormal="60" workbookViewId="0">
      <selection activeCell="G18" sqref="G18"/>
    </sheetView>
  </sheetViews>
  <sheetFormatPr defaultColWidth="9" defaultRowHeight="17.6"/>
  <cols>
    <col min="1" max="1" width="24.375" style="8" customWidth="1"/>
    <col min="2" max="2" width="38.375" style="8" customWidth="1"/>
    <col min="3" max="3" width="25.75" style="8" customWidth="1"/>
    <col min="4" max="4" width="27.5" style="8" customWidth="1"/>
    <col min="5" max="5" width="20.5" style="8" customWidth="1"/>
    <col min="6" max="6" width="17.625" style="8" customWidth="1"/>
    <col min="7" max="8" width="35" style="8" customWidth="1"/>
    <col min="9" max="9" width="32.625" style="8" customWidth="1"/>
    <col min="10" max="10" width="28.625" style="8" customWidth="1"/>
    <col min="11" max="11" width="25" style="8" customWidth="1"/>
    <col min="12" max="16384" width="9" style="8"/>
  </cols>
  <sheetData>
    <row r="1" s="5" customFormat="1" ht="53.1" customHeight="1" spans="1:11">
      <c r="A1" s="9" t="s">
        <v>47</v>
      </c>
      <c r="B1" s="9"/>
      <c r="C1" s="10"/>
      <c r="D1" s="10"/>
      <c r="E1" s="10"/>
      <c r="F1" s="10"/>
      <c r="G1" s="10"/>
      <c r="H1" s="10"/>
      <c r="I1" s="10"/>
      <c r="J1" s="10"/>
      <c r="K1" s="10"/>
    </row>
    <row r="2" s="5" customFormat="1" ht="39" customHeight="1" spans="1:11">
      <c r="A2" s="11" t="s">
        <v>48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="6" customFormat="1" ht="37.15" customHeight="1" spans="1:11">
      <c r="A3" s="12" t="s">
        <v>49</v>
      </c>
      <c r="B3" s="13" t="s">
        <v>50</v>
      </c>
      <c r="C3" s="14"/>
      <c r="D3" s="15" t="s">
        <v>51</v>
      </c>
      <c r="E3" s="13"/>
      <c r="F3" s="14"/>
      <c r="G3" s="16" t="s">
        <v>52</v>
      </c>
      <c r="H3" s="16"/>
      <c r="I3" s="16" t="s">
        <v>53</v>
      </c>
      <c r="J3" s="16" t="s">
        <v>54</v>
      </c>
      <c r="K3" s="16"/>
    </row>
    <row r="4" s="6" customFormat="1" ht="36" customHeight="1" spans="1:11">
      <c r="A4" s="17" t="s">
        <v>55</v>
      </c>
      <c r="B4" s="18"/>
      <c r="C4" s="19"/>
      <c r="D4" s="17"/>
      <c r="E4" s="18"/>
      <c r="F4" s="18"/>
      <c r="G4" s="17"/>
      <c r="H4" s="19"/>
      <c r="I4" s="20"/>
      <c r="J4" s="17"/>
      <c r="K4" s="19"/>
    </row>
    <row r="5" s="6" customFormat="1" ht="37.15" customHeight="1" spans="1:11">
      <c r="A5" s="16" t="s">
        <v>56</v>
      </c>
      <c r="B5" s="16"/>
      <c r="C5" s="16" t="s">
        <v>57</v>
      </c>
      <c r="D5" s="15" t="s">
        <v>58</v>
      </c>
      <c r="E5" s="13"/>
      <c r="F5" s="14"/>
      <c r="G5" s="16" t="s">
        <v>59</v>
      </c>
      <c r="H5" s="16"/>
      <c r="I5" s="16" t="s">
        <v>60</v>
      </c>
      <c r="J5" s="16"/>
      <c r="K5" s="16"/>
    </row>
    <row r="6" s="6" customFormat="1" ht="54.95" customHeight="1" spans="1:11">
      <c r="A6" s="21" t="str">
        <f>Invoice!B10</f>
        <v>Fuse Energy CO.,LTD</v>
      </c>
      <c r="B6" s="22"/>
      <c r="C6" s="23"/>
      <c r="D6" s="17" t="s">
        <v>61</v>
      </c>
      <c r="E6" s="18"/>
      <c r="F6" s="18"/>
      <c r="G6" s="17"/>
      <c r="H6" s="19"/>
      <c r="I6" s="17"/>
      <c r="J6" s="18"/>
      <c r="K6" s="19"/>
    </row>
    <row r="7" s="6" customFormat="1" ht="42" customHeight="1" spans="1:11">
      <c r="A7" s="12" t="s">
        <v>62</v>
      </c>
      <c r="B7" s="13" t="s">
        <v>50</v>
      </c>
      <c r="C7" s="14"/>
      <c r="D7" s="15" t="s">
        <v>63</v>
      </c>
      <c r="E7" s="13"/>
      <c r="F7" s="14"/>
      <c r="G7" s="16" t="s">
        <v>64</v>
      </c>
      <c r="H7" s="16"/>
      <c r="I7" s="16" t="s">
        <v>65</v>
      </c>
      <c r="J7" s="16"/>
      <c r="K7" s="16"/>
    </row>
    <row r="8" s="6" customFormat="1" ht="37.9" customHeight="1" spans="1:11">
      <c r="A8" s="17" t="s">
        <v>55</v>
      </c>
      <c r="B8" s="18"/>
      <c r="C8" s="19"/>
      <c r="D8" s="17" t="s">
        <v>66</v>
      </c>
      <c r="E8" s="18"/>
      <c r="F8" s="18"/>
      <c r="G8" s="17" t="s">
        <v>67</v>
      </c>
      <c r="H8" s="19"/>
      <c r="I8" s="17"/>
      <c r="J8" s="18"/>
      <c r="K8" s="19"/>
    </row>
    <row r="9" s="6" customFormat="1" ht="34.9" customHeight="1" spans="1:11">
      <c r="A9" s="16" t="s">
        <v>68</v>
      </c>
      <c r="B9" s="16"/>
      <c r="C9" s="16" t="s">
        <v>57</v>
      </c>
      <c r="D9" s="15" t="s">
        <v>69</v>
      </c>
      <c r="E9" s="13"/>
      <c r="F9" s="14"/>
      <c r="G9" s="16" t="s">
        <v>70</v>
      </c>
      <c r="H9" s="16"/>
      <c r="I9" s="16" t="s">
        <v>71</v>
      </c>
      <c r="J9" s="16" t="s">
        <v>72</v>
      </c>
      <c r="K9" s="16"/>
    </row>
    <row r="10" s="6" customFormat="1" ht="49" customHeight="1" spans="1:11">
      <c r="A10" s="17" t="str">
        <f>Invoice!H4</f>
        <v>F16-260728
F16-260803</v>
      </c>
      <c r="B10" s="18"/>
      <c r="C10" s="19"/>
      <c r="D10" s="17" t="s">
        <v>73</v>
      </c>
      <c r="E10" s="18"/>
      <c r="F10" s="18"/>
      <c r="G10" s="17" t="s">
        <v>73</v>
      </c>
      <c r="H10" s="19"/>
      <c r="I10" s="20"/>
      <c r="J10" s="17"/>
      <c r="K10" s="19"/>
    </row>
    <row r="11" s="6" customFormat="1" ht="33" customHeight="1" spans="1:11">
      <c r="A11" s="24" t="s">
        <v>74</v>
      </c>
      <c r="B11" s="24"/>
      <c r="C11" s="24"/>
      <c r="D11" s="16" t="s">
        <v>75</v>
      </c>
      <c r="E11" s="15" t="s">
        <v>76</v>
      </c>
      <c r="F11" s="14"/>
      <c r="G11" s="16" t="s">
        <v>77</v>
      </c>
      <c r="H11" s="16" t="s">
        <v>78</v>
      </c>
      <c r="I11" s="16" t="s">
        <v>79</v>
      </c>
      <c r="J11" s="16" t="s">
        <v>80</v>
      </c>
      <c r="K11" s="25" t="s">
        <v>81</v>
      </c>
    </row>
    <row r="12" s="6" customFormat="1" ht="45" customHeight="1" spans="1:11">
      <c r="A12" s="26" t="s">
        <v>82</v>
      </c>
      <c r="B12" s="27"/>
      <c r="C12" s="28"/>
      <c r="D12" s="29">
        <f>'Packing List'!C27</f>
        <v>1</v>
      </c>
      <c r="E12" s="26">
        <f>'Packing List'!H22</f>
        <v>202.71</v>
      </c>
      <c r="F12" s="28"/>
      <c r="G12" s="29">
        <f>'Packing List'!G22</f>
        <v>144.71</v>
      </c>
      <c r="H12" s="29" t="s">
        <v>32</v>
      </c>
      <c r="I12" s="30">
        <v>1375</v>
      </c>
      <c r="J12" s="30">
        <v>5</v>
      </c>
      <c r="K12" s="31"/>
    </row>
    <row r="13" s="5" customFormat="1" ht="42" customHeight="1" spans="1:11">
      <c r="A13" s="32" t="s">
        <v>83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4" s="5" customFormat="1" ht="38.1" customHeight="1" spans="1:11">
      <c r="A14" s="15" t="s">
        <v>84</v>
      </c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s="5" customFormat="1" ht="39" customHeight="1" spans="1:11">
      <c r="A15" s="33" t="str">
        <f>Invoice!B17</f>
        <v>MADE IN CHINA
P/NO.: 1-1</v>
      </c>
      <c r="B15" s="34"/>
      <c r="C15" s="34"/>
      <c r="D15" s="34"/>
      <c r="E15" s="34"/>
      <c r="F15" s="34"/>
      <c r="G15" s="34"/>
      <c r="H15" s="34"/>
      <c r="I15" s="34"/>
      <c r="J15" s="34"/>
      <c r="K15" s="35"/>
    </row>
    <row r="16" s="5" customFormat="1" ht="24.95" customHeight="1" spans="1:1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9"/>
    </row>
    <row r="17" s="5" customFormat="1" ht="59.1" customHeight="1" spans="1:16">
      <c r="A17" s="36" t="s">
        <v>85</v>
      </c>
      <c r="B17" s="37" t="s">
        <v>86</v>
      </c>
      <c r="C17" s="38" t="s">
        <v>87</v>
      </c>
      <c r="D17" s="38"/>
      <c r="E17" s="38" t="s">
        <v>88</v>
      </c>
      <c r="F17" s="38"/>
      <c r="G17" s="38" t="s">
        <v>89</v>
      </c>
      <c r="H17" s="38" t="s">
        <v>90</v>
      </c>
      <c r="I17" s="38" t="s">
        <v>91</v>
      </c>
      <c r="J17" s="38" t="s">
        <v>92</v>
      </c>
      <c r="K17" s="39" t="s">
        <v>93</v>
      </c>
    </row>
    <row r="18" s="5" customFormat="1" ht="60" customHeight="1" spans="1:16">
      <c r="A18" s="26">
        <v>1</v>
      </c>
      <c r="B18" s="27">
        <v>8544601290</v>
      </c>
      <c r="C18" s="40" t="s">
        <v>94</v>
      </c>
      <c r="D18" s="40"/>
      <c r="E18" s="41" t="s">
        <v>95</v>
      </c>
      <c r="F18" s="41" t="s">
        <v>96</v>
      </c>
      <c r="G18" s="42">
        <v>4395.487</v>
      </c>
      <c r="H18" s="43" t="s">
        <v>97</v>
      </c>
      <c r="I18" s="43" t="str">
        <f>G10</f>
        <v>英国</v>
      </c>
      <c r="J18" s="44" t="s">
        <v>98</v>
      </c>
      <c r="K18" s="45"/>
    </row>
    <row r="19" s="5" customFormat="1" ht="59.1" customHeight="1" spans="1:16">
      <c r="A19" s="46"/>
      <c r="B19" s="47"/>
      <c r="C19" s="47"/>
      <c r="E19" s="48"/>
      <c r="F19" s="48"/>
      <c r="G19" s="49" t="s">
        <v>99</v>
      </c>
      <c r="H19" s="50"/>
      <c r="J19" s="47"/>
      <c r="K19" s="51"/>
    </row>
    <row r="20" s="5" customFormat="1" ht="61.5" customHeight="1" spans="1:16">
      <c r="A20" s="36"/>
      <c r="B20" s="52"/>
      <c r="C20" s="52"/>
      <c r="D20" s="52"/>
      <c r="E20" s="53" t="s">
        <v>100</v>
      </c>
      <c r="F20" s="53"/>
      <c r="G20" s="54" t="e">
        <f>Invoice!H24+#REF!</f>
        <v>#REF!</v>
      </c>
      <c r="H20" s="52"/>
      <c r="I20" s="52"/>
      <c r="J20" s="52"/>
      <c r="K20" s="55"/>
    </row>
    <row r="21" s="7" customFormat="1" ht="96" customHeight="1" spans="1:16">
      <c r="A21" s="56"/>
      <c r="B21" s="57"/>
      <c r="C21" s="58" t="s">
        <v>101</v>
      </c>
      <c r="D21" s="59"/>
      <c r="E21" s="60" t="s">
        <v>102</v>
      </c>
      <c r="F21" s="60"/>
      <c r="G21" s="61" t="s">
        <v>103</v>
      </c>
      <c r="H21" s="61"/>
      <c r="I21" s="62" t="s">
        <v>104</v>
      </c>
      <c r="K21" s="63"/>
      <c r="L21" s="57"/>
      <c r="M21" s="57"/>
      <c r="N21" s="57"/>
      <c r="O21" s="64"/>
      <c r="P21" s="64"/>
    </row>
    <row r="22" s="5" customFormat="1" ht="51" customHeight="1" spans="1:16">
      <c r="A22" s="65" t="s">
        <v>105</v>
      </c>
      <c r="B22" s="66"/>
      <c r="C22" s="66" t="s">
        <v>106</v>
      </c>
      <c r="D22" s="66" t="s">
        <v>107</v>
      </c>
      <c r="E22" s="40" t="s">
        <v>108</v>
      </c>
      <c r="F22" s="40"/>
      <c r="G22" s="40"/>
      <c r="H22" s="67"/>
      <c r="I22" s="68" t="s">
        <v>109</v>
      </c>
      <c r="J22" s="69"/>
      <c r="K22" s="69"/>
    </row>
    <row r="23" s="5" customFormat="1" ht="250.15" customHeight="1" spans="1:16">
      <c r="A23" s="70" t="s">
        <v>110</v>
      </c>
      <c r="B23" s="43"/>
      <c r="C23" s="43"/>
      <c r="D23" s="43"/>
      <c r="E23" s="71" t="s">
        <v>111</v>
      </c>
      <c r="F23" s="71"/>
      <c r="G23" s="71"/>
      <c r="H23" s="72"/>
      <c r="I23" s="69"/>
      <c r="J23" s="69"/>
      <c r="K23" s="69"/>
    </row>
    <row r="24" ht="18" customHeight="1"/>
  </sheetData>
  <mergeCells count="50">
    <mergeCell ref="A1:K1"/>
    <mergeCell ref="A2:K2"/>
    <mergeCell ref="B3:C3"/>
    <mergeCell ref="D3:F3"/>
    <mergeCell ref="G3:H3"/>
    <mergeCell ref="J3:K3"/>
    <mergeCell ref="A4:C4"/>
    <mergeCell ref="D4:F4"/>
    <mergeCell ref="G4:H4"/>
    <mergeCell ref="J4:K4"/>
    <mergeCell ref="A5:C5"/>
    <mergeCell ref="D5:F5"/>
    <mergeCell ref="G5:H5"/>
    <mergeCell ref="I5:K5"/>
    <mergeCell ref="A6:C6"/>
    <mergeCell ref="D6:F6"/>
    <mergeCell ref="G6:H6"/>
    <mergeCell ref="I6:K6"/>
    <mergeCell ref="B7:C7"/>
    <mergeCell ref="D7:F7"/>
    <mergeCell ref="G7:H7"/>
    <mergeCell ref="I7:K7"/>
    <mergeCell ref="A8:C8"/>
    <mergeCell ref="D8:F8"/>
    <mergeCell ref="G8:H8"/>
    <mergeCell ref="I8:K8"/>
    <mergeCell ref="A9:C9"/>
    <mergeCell ref="D9:F9"/>
    <mergeCell ref="G9:H9"/>
    <mergeCell ref="J9:K9"/>
    <mergeCell ref="A10:C10"/>
    <mergeCell ref="D10:F10"/>
    <mergeCell ref="G10:H10"/>
    <mergeCell ref="J10:K10"/>
    <mergeCell ref="A11:C11"/>
    <mergeCell ref="E11:F11"/>
    <mergeCell ref="A12:C12"/>
    <mergeCell ref="E12:F12"/>
    <mergeCell ref="A13:K13"/>
    <mergeCell ref="A14:K14"/>
    <mergeCell ref="C17:D17"/>
    <mergeCell ref="E17:F17"/>
    <mergeCell ref="C18:D18"/>
    <mergeCell ref="C21:D21"/>
    <mergeCell ref="E21:F21"/>
    <mergeCell ref="G21:H21"/>
    <mergeCell ref="E22:H22"/>
    <mergeCell ref="E23:H23"/>
    <mergeCell ref="A15:K16"/>
    <mergeCell ref="I22:K23"/>
  </mergeCells>
  <printOptions horizontalCentered="1" verticalCentered="1"/>
  <pageMargins left="0.196527777777778" right="0.196527777777778" top="0.196527777777778" bottom="0.196527777777778" header="0.297916666666667" footer="0.297916666666667"/>
  <pageSetup paperSize="9" scale="38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3" sqref="A13"/>
    </sheetView>
  </sheetViews>
  <sheetFormatPr defaultColWidth="53.625" defaultRowHeight="16.8"/>
  <cols>
    <col min="1" max="1" width="53.625" style="1" customWidth="1"/>
    <col min="2" max="16384" width="53.625" style="1"/>
  </cols>
  <sheetData>
    <row r="1" spans="1:1">
      <c r="A1" s="2" t="s">
        <v>112</v>
      </c>
    </row>
    <row r="2" spans="1:1">
      <c r="A2" s="3" t="s">
        <v>113</v>
      </c>
    </row>
    <row r="3" spans="1:1">
      <c r="A3" s="3" t="s">
        <v>114</v>
      </c>
    </row>
    <row r="4" spans="1:1">
      <c r="A4" s="3" t="s">
        <v>115</v>
      </c>
    </row>
    <row r="5" spans="1:1">
      <c r="A5" s="3" t="s">
        <v>116</v>
      </c>
    </row>
    <row r="6" spans="1:1">
      <c r="A6" s="3" t="s">
        <v>117</v>
      </c>
    </row>
    <row r="7" spans="1:1">
      <c r="A7" s="3" t="s">
        <v>118</v>
      </c>
    </row>
    <row r="8" spans="1:1">
      <c r="A8" s="3" t="s">
        <v>119</v>
      </c>
    </row>
    <row r="9" spans="1:1">
      <c r="A9" s="3"/>
    </row>
    <row r="10" spans="1:1">
      <c r="A10" s="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Invoice</vt:lpstr>
      <vt:lpstr>Packing List</vt:lpstr>
      <vt:lpstr>报关单</vt:lpstr>
      <vt:lpstr>申报要素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</dc:creator>
  <cp:lastModifiedBy>shaobt</cp:lastModifiedBy>
  <dcterms:created xsi:type="dcterms:W3CDTF">2022-05-19T14:54:00Z</dcterms:created>
  <dcterms:modified xsi:type="dcterms:W3CDTF">2026-08-30T15:27:39Z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111478E733864364844FFF71DDE9B9AF</vt:lpwstr>
  </property>
  <property fmtid="{D5CDD505-2E9C-101B-9397-08002B2CF9AE}" pid="4" name="CalculationRule">
    <vt:i4>0</vt:i4>
  </property>
</Properties>
</file>